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6d87d4934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局配置" sheetId="4" r:id="R937215cc7c9c486f"/>
    <x:sheet xmlns:r="http://schemas.openxmlformats.org/officeDocument/2006/relationships" name="关卡流程" sheetId="5" r:id="R725062f849a34866"/>
    <x:sheet xmlns:r="http://schemas.openxmlformats.org/officeDocument/2006/relationships" name="牌型配置" sheetId="1" r:id="R3d8dfe0b748e4dbd"/>
    <x:sheet xmlns:r="http://schemas.openxmlformats.org/officeDocument/2006/relationships" name="卡牌配置" sheetId="7" r:id="Rfac7798d0da149a4"/>
    <x:sheet xmlns:r="http://schemas.openxmlformats.org/officeDocument/2006/relationships" name="人格牌配置" sheetId="6" r:id="R420cd3fea9ce4739"/>
    <x:sheet xmlns:r="http://schemas.openxmlformats.org/officeDocument/2006/relationships" name="人格牌_词条" sheetId="9" r:id="Ra3ebe8c9b6574783"/>
    <x:sheet xmlns:r="http://schemas.openxmlformats.org/officeDocument/2006/relationships" name="人格牌_主属性" sheetId="10" r:id="R391cc7646ff94dfa"/>
    <x:sheet xmlns:r="http://schemas.openxmlformats.org/officeDocument/2006/relationships" name="人格牌_次级属性" sheetId="14" r:id="R6f0d487dfd544678"/>
    <x:sheet xmlns:r="http://schemas.openxmlformats.org/officeDocument/2006/relationships" name="商品_商品" sheetId="17" r:id="Rb0473e62a6844cb8"/>
    <x:sheet xmlns:r="http://schemas.openxmlformats.org/officeDocument/2006/relationships" name="商店_人格铸造" sheetId="19" r:id="R13bbad8ad0b141cb"/>
    <x:sheet xmlns:r="http://schemas.openxmlformats.org/officeDocument/2006/relationships" name="商店_商品槽位刷新规则" sheetId="20" r:id="R7918235bf3e74cf2"/>
    <x:sheet xmlns:r="http://schemas.openxmlformats.org/officeDocument/2006/relationships" name="商店_商品刷新规则" sheetId="21" r:id="Rd0fa1b6702bd42e1"/>
    <x:sheet xmlns:r="http://schemas.openxmlformats.org/officeDocument/2006/relationships" name="牌型品质定义表" sheetId="16" r:id="Re3211879d7904f3a"/>
    <x:sheet xmlns:r="http://schemas.openxmlformats.org/officeDocument/2006/relationships" name="比较符定义表" sheetId="15" r:id="R39befdbeafe74eda"/>
    <x:sheet xmlns:r="http://schemas.openxmlformats.org/officeDocument/2006/relationships" name="图片配置" sheetId="2" r:id="Rbaae66c4c48f4516"/>
    <x:sheet xmlns:r="http://schemas.openxmlformats.org/officeDocument/2006/relationships" name="00_设计摘要" sheetId="22" r:id="Rc989817688e845e4"/>
    <x:sheet xmlns:r="http://schemas.openxmlformats.org/officeDocument/2006/relationships" name="01_输入与来源" sheetId="23" r:id="R5ae5df08c498467b"/>
    <x:sheet xmlns:r="http://schemas.openxmlformats.org/officeDocument/2006/relationships" name="02_体验与节点" sheetId="24" r:id="Rb87ca3d79d024352"/>
    <x:sheet xmlns:r="http://schemas.openxmlformats.org/officeDocument/2006/relationships" name="03_玩家基线" sheetId="25" r:id="R3f1eafa3074d41b0"/>
    <x:sheet xmlns:r="http://schemas.openxmlformats.org/officeDocument/2006/relationships" name="04_逐步推导" sheetId="26" r:id="R7721d9cf3b3a40ce"/>
    <x:sheet xmlns:r="http://schemas.openxmlformats.org/officeDocument/2006/relationships" name="05_系统模型" sheetId="27" r:id="R116ef9619db64b68"/>
    <x:sheet xmlns:r="http://schemas.openxmlformats.org/officeDocument/2006/relationships" name="06_奖励与消耗" sheetId="28" r:id="R0df021a7e4084754"/>
    <x:sheet xmlns:r="http://schemas.openxmlformats.org/officeDocument/2006/relationships" name="07_配置表" sheetId="29" r:id="R49ca74a678a646a3"/>
    <x:sheet xmlns:r="http://schemas.openxmlformats.org/officeDocument/2006/relationships" name="08_校验" sheetId="30" r:id="R459cbd9bac21492c"/>
    <x:sheet xmlns:r="http://schemas.openxmlformats.org/officeDocument/2006/relationships" name="09_概率预览" sheetId="31" r:id="R77f5b1fa1ffa4009"/>
    <x:sheet xmlns:r="http://schemas.openxmlformats.org/officeDocument/2006/relationships" name="10_冲突与解析问题" sheetId="32" r:id="R4d190b8f69074f36"/>
    <x:sheet xmlns:r="http://schemas.openxmlformats.org/officeDocument/2006/relationships" name="11_字段映射" sheetId="33" r:id="R7a142197a7774431"/>
  </x:sheets>
</x:workbook>
</file>

<file path=xl/comments1.xml><?xml version="1.0" encoding="utf-8"?>
<x:comments xmlns:x="http://schemas.openxmlformats.org/spreadsheetml/2006/main">
  <x:authors>
    <x:author>tc={97E3973A-ADCF-5D7F-136F-3B9BE2E0FF0B}</x:author>
  </x:authors>
  <x:commentList>
    <x:comment ref="F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来源：当前请求中的建议，不得在策划确认前写入正式结算。值由 9 场 × 每场最多约 2 金币推导。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<x:sst xmlns:x="http://schemas.openxmlformats.org/spreadsheetml/2006/main">
  <x:si>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规则_ID</x:t>
  </x:si>
  <x:si>
    <x:t xml:space="preserve">规则名称</x:t>
  </x:si>
  <x:si>
    <x:t xml:space="preserve">数值类型</x:t>
  </x:si>
  <x:si>
    <x:t xml:space="preserve">配置数值</x:t>
  </x:si>
  <x:si>
    <x:t xml:space="preserve">RULE_001</x:t>
  </x:si>
  <x:si>
    <x:t xml:space="preserve">每关基础出牌次数</x:t>
  </x:si>
  <x:si>
    <x:t xml:space="preserve">整数</x:t>
  </x:si>
  <x:si>
    <x:t xml:space="preserve">RULE_002</x:t>
  </x:si>
  <x:si>
    <x:t xml:space="preserve">每关基础弃牌次数</x:t>
  </x:si>
  <x:si>
    <x:t xml:space="preserve">RULE_003</x:t>
  </x:si>
  <x:si>
    <x:t xml:space="preserve">人格生效槽位</x:t>
  </x:si>
  <x:si>
    <x:t xml:space="preserve">RULE_004</x:t>
  </x:si>
  <x:si>
    <x:t xml:space="preserve">基础人格数量</x:t>
  </x:si>
  <x:si>
    <x:t xml:space="preserve">RULE_005</x:t>
  </x:si>
  <x:si>
    <x:t xml:space="preserve">商店商品槽数量</x:t>
  </x:si>
  <x:si>
    <x:t xml:space="preserve">RULE_006</x:t>
  </x:si>
  <x:si>
    <x:t xml:space="preserve">每局AI人格生成总量</x:t>
  </x:si>
  <x:si>
    <x:t xml:space="preserve">RULE_007</x:t>
  </x:si>
  <x:si>
    <x:t xml:space="preserve">每局AI人格可带出数量</x:t>
  </x:si>
  <x:si>
    <x:t xml:space="preserve">RULE_008</x:t>
  </x:si>
  <x:si>
    <x:t xml:space="preserve">人格库存上限</x:t>
  </x:si>
  <x:si>
    <x:t xml:space="preserve">RULE_009</x:t>
  </x:si>
  <x:si>
    <x:t xml:space="preserve">人格融合消耗数量</x:t>
  </x:si>
  <x:si>
    <x:t xml:space="preserve">RULE_010</x:t>
  </x:si>
  <x:si>
    <x:t xml:space="preserve">人格融合生成数量</x:t>
  </x:si>
  <x:si>
    <x:t xml:space="preserve">RULE_011</x:t>
  </x:si>
  <x:si>
    <x:t xml:space="preserve">最近3关行为权重</x:t>
  </x:si>
  <x:si>
    <x:t xml:space="preserve">小数</x:t>
  </x:si>
  <x:si>
    <x:t xml:space="preserve">RULE_012</x:t>
  </x:si>
  <x:si>
    <x:t xml:space="preserve">本局累计行为权重</x:t>
  </x:si>
  <x:si>
    <x:t xml:space="preserve">RULE_013</x:t>
  </x:si>
  <x:si>
    <x:t xml:space="preserve">雷同人格生成降重</x:t>
  </x:si>
  <x:si>
    <x:t xml:space="preserve">阶段_ID</x:t>
  </x:si>
  <x:si>
    <x:t xml:space="preserve">关卡名称</x:t>
  </x:si>
  <x:si>
    <x:t xml:space="preserve">顺序</x:t>
  </x:si>
  <x:si>
    <x:t xml:space="preserve">关卡类型描述</x:t>
  </x:si>
  <x:si>
    <x:t xml:space="preserve">分数类型</x:t>
  </x:si>
  <x:si>
    <x:t xml:space="preserve">分数参数</x:t>
  </x:si>
  <x:si>
    <x:t xml:space="preserve">手牌限制</x:t>
  </x:si>
  <x:si>
    <x:t xml:space="preserve">弃牌限制</x:t>
  </x:si>
  <x:si>
    <x:t xml:space="preserve">AI节点</x:t>
  </x:si>
  <x:si>
    <x:t xml:space="preserve">人格牌生成数量</x:t>
  </x:si>
  <x:si>
    <x:t xml:space="preserve">奖励类型1</x:t>
  </x:si>
  <x:si>
    <x:t xml:space="preserve">奖励参数1</x:t>
  </x:si>
  <x:si>
    <x:t xml:space="preserve">奖励类型2</x:t>
  </x:si>
  <x:si>
    <x:t xml:space="preserve">奖励参数2</x:t>
  </x:si>
  <x:si>
    <x:t xml:space="preserve">STAGE_01</x:t>
  </x:si>
  <x:si>
    <x:t xml:space="preserve">关卡1</x:t>
  </x:si>
  <x:si>
    <x:t xml:space="preserve">战斗</x:t>
  </x:si>
  <x:si>
    <x:t xml:space="preserve">通关分数</x:t>
  </x:si>
  <x:si>
    <x:t xml:space="preserve">金币</x:t>
  </x:si>
  <x:si>
    <x:t xml:space="preserve">STAGE_02</x:t>
  </x:si>
  <x:si>
    <x:t xml:space="preserve">关卡2</x:t>
  </x:si>
  <x:si>
    <x:t xml:space="preserve">STAGE_03</x:t>
  </x:si>
  <x:si>
    <x:t xml:space="preserve">关卡3</x:t>
  </x:si>
  <x:si>
    <x:t xml:space="preserve">STAGE_04</x:t>
  </x:si>
  <x:si>
    <x:t xml:space="preserve">AI1</x:t>
  </x:si>
  <x:si>
    <x:t xml:space="preserve">商店</x:t>
  </x:si>
  <x:si>
    <x:t xml:space="preserve">无</x:t>
  </x:si>
  <x:si>
    <x:t xml:space="preserve">STAGE_05</x:t>
  </x:si>
  <x:si>
    <x:t xml:space="preserve">关卡4</x:t>
  </x:si>
  <x:si>
    <x:t xml:space="preserve">STAGE_06</x:t>
  </x:si>
  <x:si>
    <x:t xml:space="preserve">关卡5</x:t>
  </x:si>
  <x:si>
    <x:t xml:space="preserve">STAGE_07</x:t>
  </x:si>
  <x:si>
    <x:t xml:space="preserve">关卡6</x:t>
  </x:si>
  <x:si>
    <x:t xml:space="preserve">STAGE_08</x:t>
  </x:si>
  <x:si>
    <x:t xml:space="preserve">AI2</x:t>
  </x:si>
  <x:si>
    <x:t xml:space="preserve">STAGE_09</x:t>
  </x:si>
  <x:si>
    <x:t xml:space="preserve">关卡7</x:t>
  </x:si>
  <x:si>
    <x:t xml:space="preserve">STAGE_10</x:t>
  </x:si>
  <x:si>
    <x:t xml:space="preserve">关卡8</x:t>
  </x:si>
  <x:si>
    <x:t xml:space="preserve">STAGE_11</x:t>
  </x:si>
  <x:si>
    <x:t xml:space="preserve">关卡9</x:t>
  </x:si>
  <x:si>
    <x:t xml:space="preserve">STAGE_12</x:t>
  </x:si>
  <x:si>
    <x:t xml:space="preserve">AI3</x:t>
  </x:si>
  <x:si>
    <x:t xml:space="preserve">STAGE_13</x:t>
  </x:si>
  <x:si>
    <x:t xml:space="preserve">关卡10</x:t>
  </x:si>
  <x:si>
    <x:t xml:space="preserve">手牌_ID</x:t>
  </x:si>
  <x:si>
    <x:t xml:space="preserve">牌型名称</x:t>
  </x:si>
  <x:si>
    <x:t xml:space="preserve">计分牌数</x:t>
  </x:si>
  <x:si>
    <x:t xml:space="preserve">牌型品质_ID</x:t>
  </x:si>
  <x:si>
    <x:t xml:space="preserve">基础筹码</x:t>
  </x:si>
  <x:si>
    <x:t xml:space="preserve">基础倍率</x:t>
  </x:si>
  <x:si>
    <x:t xml:space="preserve">显示顺序</x:t>
  </x:si>
  <x:si>
    <x:t xml:space="preserve">HAND_01</x:t>
  </x:si>
  <x:si>
    <x:t xml:space="preserve">高牌</x:t>
  </x:si>
  <x:si>
    <x:t xml:space="preserve">NORMAL</x:t>
  </x:si>
  <x:si>
    <x:t xml:space="preserve">HAND_02</x:t>
  </x:si>
  <x:si>
    <x:t xml:space="preserve">对子</x:t>
  </x:si>
  <x:si>
    <x:t xml:space="preserve">HAND_03</x:t>
  </x:si>
  <x:si>
    <x:t xml:space="preserve">两队</x:t>
  </x:si>
  <x:si>
    <x:t xml:space="preserve">HAND_04</x:t>
  </x:si>
  <x:si>
    <x:t xml:space="preserve">三条</x:t>
  </x:si>
  <x:si>
    <x:t xml:space="preserve">HAND_05</x:t>
  </x:si>
  <x:si>
    <x:t xml:space="preserve">顺子</x:t>
  </x:si>
  <x:si>
    <x:t xml:space="preserve">HAND_06</x:t>
  </x:si>
  <x:si>
    <x:t xml:space="preserve">同花</x:t>
  </x:si>
  <x:si>
    <x:t xml:space="preserve">RARE</x:t>
  </x:si>
  <x:si>
    <x:t xml:space="preserve">HAND_07</x:t>
  </x:si>
  <x:si>
    <x:t xml:space="preserve">葫芦</x:t>
  </x:si>
  <x:si>
    <x:t xml:space="preserve">HAND_08</x:t>
  </x:si>
  <x:si>
    <x:t xml:space="preserve">四条</x:t>
  </x:si>
  <x:si>
    <x:t xml:space="preserve">HAND_09</x:t>
  </x:si>
  <x:si>
    <x:t xml:space="preserve">同花顺</x:t>
  </x:si>
  <x:si>
    <x:t xml:space="preserve">HAND_10</x:t>
  </x:si>
  <x:si>
    <x:t xml:space="preserve">同花葫芦</x:t>
  </x:si>
  <x:si>
    <x:t xml:space="preserve">HAND_11</x:t>
  </x:si>
  <x:si>
    <x:t xml:space="preserve">皇家同花顺</x:t>
  </x:si>
  <x:si>
    <x:t xml:space="preserve">卡牌_ID</x:t>
  </x:si>
  <x:si>
    <x:t xml:space="preserve">卡牌名称</x:t>
  </x:si>
  <x:si>
    <x:t xml:space="preserve">卡牌类型</x:t>
  </x:si>
  <x:si>
    <x:t xml:space="preserve">花色</x:t>
  </x:si>
  <x:si>
    <x:t xml:space="preserve">点数</x:t>
  </x:si>
  <x:si>
    <x:t xml:space="preserve">参数类型</x:t>
  </x:si>
  <x:si>
    <x:t xml:space="preserve">参数1</x:t>
  </x:si>
  <x:si>
    <x:t xml:space="preserve">CARD_001</x:t>
  </x:si>
  <x:si>
    <x:t xml:space="preserve">黑桃A</x:t>
  </x:si>
  <x:si>
    <x:t xml:space="preserve">手牌</x:t>
  </x:si>
  <x:si>
    <x:t xml:space="preserve">黑桃</x:t>
  </x:si>
  <x:si>
    <x:t xml:space="preserve">A</x:t>
  </x:si>
  <x:si>
    <x:t xml:space="preserve">筹码</x:t>
  </x:si>
  <x:si>
    <x:t xml:space="preserve">CARD_002</x:t>
  </x:si>
  <x:si>
    <x:t xml:space="preserve">黑桃2</x:t>
  </x:si>
  <x:si>
    <x:t xml:space="preserve">CARD_003</x:t>
  </x:si>
  <x:si>
    <x:t xml:space="preserve">黑桃3</x:t>
  </x:si>
  <x:si>
    <x:t xml:space="preserve">CARD_004</x:t>
  </x:si>
  <x:si>
    <x:t xml:space="preserve">黑桃4</x:t>
  </x:si>
  <x:si>
    <x:t xml:space="preserve">CARD_005</x:t>
  </x:si>
  <x:si>
    <x:t xml:space="preserve">黑桃5</x:t>
  </x:si>
  <x:si>
    <x:t xml:space="preserve">CARD_006</x:t>
  </x:si>
  <x:si>
    <x:t xml:space="preserve">黑桃6</x:t>
  </x:si>
  <x:si>
    <x:t xml:space="preserve">CARD_007</x:t>
  </x:si>
  <x:si>
    <x:t xml:space="preserve">黑桃7</x:t>
  </x:si>
  <x:si>
    <x:t xml:space="preserve">CARD_008</x:t>
  </x:si>
  <x:si>
    <x:t xml:space="preserve">黑桃8</x:t>
  </x:si>
  <x:si>
    <x:t xml:space="preserve">CARD_009</x:t>
  </x:si>
  <x:si>
    <x:t xml:space="preserve">黑桃9</x:t>
  </x:si>
  <x:si>
    <x:t xml:space="preserve">CARD_010</x:t>
  </x:si>
  <x:si>
    <x:t xml:space="preserve">黑桃10</x:t>
  </x:si>
  <x:si>
    <x:t xml:space="preserve">CARD_011</x:t>
  </x:si>
  <x:si>
    <x:t xml:space="preserve">黑桃J</x:t>
  </x:si>
  <x:si>
    <x:t xml:space="preserve">J</x:t>
  </x:si>
  <x:si>
    <x:t xml:space="preserve">CARD_012</x:t>
  </x:si>
  <x:si>
    <x:t xml:space="preserve">黑桃Q</x:t>
  </x:si>
  <x:si>
    <x:t xml:space="preserve">Q</x:t>
  </x:si>
  <x:si>
    <x:t xml:space="preserve">CARD_013</x:t>
  </x:si>
  <x:si>
    <x:t xml:space="preserve">黑桃K</x:t>
  </x:si>
  <x:si>
    <x:t xml:space="preserve">K</x:t>
  </x:si>
  <x:si>
    <x:t xml:space="preserve">CARD_014</x:t>
  </x:si>
  <x:si>
    <x:t xml:space="preserve">红桃A</x:t>
  </x:si>
  <x:si>
    <x:t xml:space="preserve">红桃</x:t>
  </x:si>
  <x:si>
    <x:t xml:space="preserve">CARD_015</x:t>
  </x:si>
  <x:si>
    <x:t xml:space="preserve">红桃2</x:t>
  </x:si>
  <x:si>
    <x:t xml:space="preserve">CARD_016</x:t>
  </x:si>
  <x:si>
    <x:t xml:space="preserve">红桃3</x:t>
  </x:si>
  <x:si>
    <x:t xml:space="preserve">CARD_017</x:t>
  </x:si>
  <x:si>
    <x:t xml:space="preserve">红桃4</x:t>
  </x:si>
  <x:si>
    <x:t xml:space="preserve">CARD_018</x:t>
  </x:si>
  <x:si>
    <x:t xml:space="preserve">红桃5</x:t>
  </x:si>
  <x:si>
    <x:t xml:space="preserve">CARD_019</x:t>
  </x:si>
  <x:si>
    <x:t xml:space="preserve">红桃6</x:t>
  </x:si>
  <x:si>
    <x:t xml:space="preserve">CARD_020</x:t>
  </x:si>
  <x:si>
    <x:t xml:space="preserve">红桃7</x:t>
  </x:si>
  <x:si>
    <x:t xml:space="preserve">CARD_021</x:t>
  </x:si>
  <x:si>
    <x:t xml:space="preserve">红桃8</x:t>
  </x:si>
  <x:si>
    <x:t xml:space="preserve">CARD_022</x:t>
  </x:si>
  <x:si>
    <x:t xml:space="preserve">红桃9</x:t>
  </x:si>
  <x:si>
    <x:t xml:space="preserve">CARD_023</x:t>
  </x:si>
  <x:si>
    <x:t xml:space="preserve">红桃10</x:t>
  </x:si>
  <x:si>
    <x:t xml:space="preserve">CARD_024</x:t>
  </x:si>
  <x:si>
    <x:t xml:space="preserve">红桃J</x:t>
  </x:si>
  <x:si>
    <x:t xml:space="preserve">CARD_025</x:t>
  </x:si>
  <x:si>
    <x:t xml:space="preserve">红桃Q</x:t>
  </x:si>
  <x:si>
    <x:t xml:space="preserve">CARD_026</x:t>
  </x:si>
  <x:si>
    <x:t xml:space="preserve">红桃K</x:t>
  </x:si>
  <x:si>
    <x:t xml:space="preserve">CARD_027</x:t>
  </x:si>
  <x:si>
    <x:t xml:space="preserve">梅花A</x:t>
  </x:si>
  <x:si>
    <x:t xml:space="preserve">梅花</x:t>
  </x:si>
  <x:si>
    <x:t xml:space="preserve">CARD_028</x:t>
  </x:si>
  <x:si>
    <x:t xml:space="preserve">梅花2</x:t>
  </x:si>
  <x:si>
    <x:t xml:space="preserve">CARD_029</x:t>
  </x:si>
  <x:si>
    <x:t xml:space="preserve">梅花3</x:t>
  </x:si>
  <x:si>
    <x:t xml:space="preserve">CARD_030</x:t>
  </x:si>
  <x:si>
    <x:t xml:space="preserve">梅花4</x:t>
  </x:si>
  <x:si>
    <x:t xml:space="preserve">CARD_031</x:t>
  </x:si>
  <x:si>
    <x:t xml:space="preserve">梅花5</x:t>
  </x:si>
  <x:si>
    <x:t xml:space="preserve">CARD_032</x:t>
  </x:si>
  <x:si>
    <x:t xml:space="preserve">梅花6</x:t>
  </x:si>
  <x:si>
    <x:t xml:space="preserve">CARD_033</x:t>
  </x:si>
  <x:si>
    <x:t xml:space="preserve">梅花7</x:t>
  </x:si>
  <x:si>
    <x:t xml:space="preserve">CARD_034</x:t>
  </x:si>
  <x:si>
    <x:t xml:space="preserve">梅花8</x:t>
  </x:si>
  <x:si>
    <x:t xml:space="preserve">CARD_035</x:t>
  </x:si>
  <x:si>
    <x:t xml:space="preserve">梅花9</x:t>
  </x:si>
  <x:si>
    <x:t xml:space="preserve">CARD_036</x:t>
  </x:si>
  <x:si>
    <x:t xml:space="preserve">梅花10</x:t>
  </x:si>
  <x:si>
    <x:t xml:space="preserve">CARD_037</x:t>
  </x:si>
  <x:si>
    <x:t xml:space="preserve">梅花J</x:t>
  </x:si>
  <x:si>
    <x:t xml:space="preserve">CARD_038</x:t>
  </x:si>
  <x:si>
    <x:t xml:space="preserve">梅花Q</x:t>
  </x:si>
  <x:si>
    <x:t xml:space="preserve">CARD_039</x:t>
  </x:si>
  <x:si>
    <x:t xml:space="preserve">梅花K</x:t>
  </x:si>
  <x:si>
    <x:t xml:space="preserve">CARD_040</x:t>
  </x:si>
  <x:si>
    <x:t xml:space="preserve">方块A</x:t>
  </x:si>
  <x:si>
    <x:t xml:space="preserve">方块</x:t>
  </x:si>
  <x:si>
    <x:t xml:space="preserve">CARD_041</x:t>
  </x:si>
  <x:si>
    <x:t xml:space="preserve">方块2</x:t>
  </x:si>
  <x:si>
    <x:t xml:space="preserve">CARD_042</x:t>
  </x:si>
  <x:si>
    <x:t xml:space="preserve">方块3</x:t>
  </x:si>
  <x:si>
    <x:t xml:space="preserve">CARD_043</x:t>
  </x:si>
  <x:si>
    <x:t xml:space="preserve">方块4</x:t>
  </x:si>
  <x:si>
    <x:t xml:space="preserve">CARD_044</x:t>
  </x:si>
  <x:si>
    <x:t xml:space="preserve">方块5</x:t>
  </x:si>
  <x:si>
    <x:t xml:space="preserve">CARD_045</x:t>
  </x:si>
  <x:si>
    <x:t xml:space="preserve">方块6</x:t>
  </x:si>
  <x:si>
    <x:t xml:space="preserve">CARD_046</x:t>
  </x:si>
  <x:si>
    <x:t xml:space="preserve">方块7</x:t>
  </x:si>
  <x:si>
    <x:t xml:space="preserve">CARD_047</x:t>
  </x:si>
  <x:si>
    <x:t xml:space="preserve">方块8</x:t>
  </x:si>
  <x:si>
    <x:t xml:space="preserve">CARD_048</x:t>
  </x:si>
  <x:si>
    <x:t xml:space="preserve">方块9</x:t>
  </x:si>
  <x:si>
    <x:t xml:space="preserve">CARD_049</x:t>
  </x:si>
  <x:si>
    <x:t xml:space="preserve">方块10</x:t>
  </x:si>
  <x:si>
    <x:t xml:space="preserve">CARD_050</x:t>
  </x:si>
  <x:si>
    <x:t xml:space="preserve">方块J</x:t>
  </x:si>
  <x:si>
    <x:t xml:space="preserve">CARD_051</x:t>
  </x:si>
  <x:si>
    <x:t xml:space="preserve">方块Q</x:t>
  </x:si>
  <x:si>
    <x:t xml:space="preserve">CARD_052</x:t>
  </x:si>
  <x:si>
    <x:t xml:space="preserve">方块K</x:t>
  </x:si>
  <x:si>
    <x:t xml:space="preserve">人格牌_ID</x:t>
  </x:si>
  <x:si>
    <x:t xml:space="preserve">人格牌名称</x:t>
  </x:si>
  <x:si>
    <x:t xml:space="preserve">词条_ID</x:t>
  </x:si>
  <x:si>
    <x:t xml:space="preserve">主属性_ID</x:t>
  </x:si>
  <x:si>
    <x:t xml:space="preserve">次级属性_ID</x:t>
  </x:si>
  <x:si>
    <x:t xml:space="preserve">最大属性数量</x:t>
  </x:si>
  <x:si>
    <x:t xml:space="preserve">最大次级属性数量</x:t>
  </x:si>
  <x:si>
    <x:t xml:space="preserve">次级属性池数量</x:t>
  </x:si>
  <x:si>
    <x:t xml:space="preserve">PER_001</x:t>
  </x:si>
  <x:si>
    <x:t xml:space="preserve">人格牌01</x:t>
  </x:si>
  <x:si>
    <x:t xml:space="preserve">ENTRY_001</x:t>
  </x:si>
  <x:si>
    <x:t xml:space="preserve">MAIN_001</x:t>
  </x:si>
  <x:si>
    <x:t xml:space="preserve">SUB_001</x:t>
  </x:si>
  <x:si>
    <x:t xml:space="preserve">PER_002</x:t>
  </x:si>
  <x:si>
    <x:t xml:space="preserve">人格牌02</x:t>
  </x:si>
  <x:si>
    <x:t xml:space="preserve">ENTRY_002</x:t>
  </x:si>
  <x:si>
    <x:t xml:space="preserve">MAIN_002</x:t>
  </x:si>
  <x:si>
    <x:t xml:space="preserve">SUB_006</x:t>
  </x:si>
  <x:si>
    <x:t xml:space="preserve">PER_003</x:t>
  </x:si>
  <x:si>
    <x:t xml:space="preserve">人格牌03</x:t>
  </x:si>
  <x:si>
    <x:t xml:space="preserve">ENTRY_003</x:t>
  </x:si>
  <x:si>
    <x:t xml:space="preserve">MAIN_003</x:t>
  </x:si>
  <x:si>
    <x:t xml:space="preserve">SUB_011</x:t>
  </x:si>
  <x:si>
    <x:t xml:space="preserve">PER_004</x:t>
  </x:si>
  <x:si>
    <x:t xml:space="preserve">人格牌04</x:t>
  </x:si>
  <x:si>
    <x:t xml:space="preserve">ENTRY_004</x:t>
  </x:si>
  <x:si>
    <x:t xml:space="preserve">MAIN_004</x:t>
  </x:si>
  <x:si>
    <x:t xml:space="preserve">SUB_016</x:t>
  </x:si>
  <x:si>
    <x:t xml:space="preserve">PER_005</x:t>
  </x:si>
  <x:si>
    <x:t xml:space="preserve">人格牌05</x:t>
  </x:si>
  <x:si>
    <x:t xml:space="preserve">ENTRY_005</x:t>
  </x:si>
  <x:si>
    <x:t xml:space="preserve">MAIN_005</x:t>
  </x:si>
  <x:si>
    <x:t xml:space="preserve">SUB_021</x:t>
  </x:si>
  <x:si>
    <x:t xml:space="preserve">PER_006</x:t>
  </x:si>
  <x:si>
    <x:t xml:space="preserve">人格牌06</x:t>
  </x:si>
  <x:si>
    <x:t xml:space="preserve">ENTRY_006</x:t>
  </x:si>
  <x:si>
    <x:t xml:space="preserve">MAIN_006</x:t>
  </x:si>
  <x:si>
    <x:t xml:space="preserve">SUB_026</x:t>
  </x:si>
  <x:si>
    <x:t xml:space="preserve">PER_007</x:t>
  </x:si>
  <x:si>
    <x:t xml:space="preserve">人格牌07</x:t>
  </x:si>
  <x:si>
    <x:t xml:space="preserve">ENTRY_007</x:t>
  </x:si>
  <x:si>
    <x:t xml:space="preserve">MAIN_007</x:t>
  </x:si>
  <x:si>
    <x:t xml:space="preserve">SUB_031</x:t>
  </x:si>
  <x:si>
    <x:t xml:space="preserve">PER_008</x:t>
  </x:si>
  <x:si>
    <x:t xml:space="preserve">人格牌08</x:t>
  </x:si>
  <x:si>
    <x:t xml:space="preserve">ENTRY_008</x:t>
  </x:si>
  <x:si>
    <x:t xml:space="preserve">MAIN_008</x:t>
  </x:si>
  <x:si>
    <x:t xml:space="preserve">SUB_036</x:t>
  </x:si>
  <x:si>
    <x:t xml:space="preserve">触发条件描述</x:t>
  </x:si>
  <x:si>
    <x:t xml:space="preserve">条件类型</x:t>
  </x:si>
  <x:si>
    <x:t xml:space="preserve">比较符</x:t>
  </x:si>
  <x:si>
    <x:t xml:space="preserve">条件参数</x:t>
  </x:si>
  <x:si>
    <x:t xml:space="preserve">连续两次使用相同牌型</x:t>
  </x:si>
  <x:si>
    <x:t xml:space="preserve">连续牌型</x:t>
  </x:si>
  <x:si>
    <x:t xml:space="preserve">EQ</x:t>
  </x:si>
  <x:si>
    <x:t xml:space="preserve">本次计分牌数量 ≥4</x:t>
  </x:si>
  <x:si>
    <x:t xml:space="preserve">计分牌数量</x:t>
  </x:si>
  <x:si>
    <x:t xml:space="preserve">GTE</x:t>
  </x:si>
  <x:si>
    <x:t xml:space="preserve">打出牌型，品质为普通</x:t>
  </x:si>
  <x:si>
    <x:t xml:space="preserve">牌型品质</x:t>
  </x:si>
  <x:si>
    <x:t xml:space="preserve">本回合没有使用弃牌</x:t>
  </x:si>
  <x:si>
    <x:t xml:space="preserve">弃牌次数</x:t>
  </x:si>
  <x:si>
    <x:t xml:space="preserve">使用弃牌后下一次出牌</x:t>
  </x:si>
  <x:si>
    <x:t xml:space="preserve">弃牌后出牌</x:t>
  </x:si>
  <x:si>
    <x:t xml:space="preserve">连续两次使用不同牌型</x:t>
  </x:si>
  <x:si>
    <x:t xml:space="preserve">NEQ</x:t>
  </x:si>
  <x:si>
    <x:t xml:space="preserve">出牌数量不足5张</x:t>
  </x:si>
  <x:si>
    <x:t xml:space="preserve">出牌数量</x:t>
  </x:si>
  <x:si>
    <x:t xml:space="preserve">LTE</x:t>
  </x:si>
  <x:si>
    <x:t xml:space="preserve">打出牌型，品质为稀有</x:t>
  </x:si>
  <x:si>
    <x:t xml:space="preserve">属性类型</x:t>
  </x:si>
  <x:si>
    <x:t xml:space="preserve">属性参数1</x:t>
  </x:si>
  <x:si>
    <x:t xml:space="preserve">属性参数2</x:t>
  </x:si>
  <x:si>
    <x:t xml:space="preserve">开放节点</x:t>
  </x:si>
  <x:si>
    <x:t xml:space="preserve">增加</x:t>
  </x:si>
  <x:si>
    <x:t xml:space="preserve">默认</x:t>
  </x:si>
  <x:si>
    <x:t xml:space="preserve">独立倍率</x:t>
  </x:si>
  <x:si>
    <x:t xml:space="preserve">所属人格</x:t>
  </x:si>
  <x:si>
    <x:t xml:space="preserve">权重</x:t>
  </x:si>
  <x:si>
    <x:t xml:space="preserve">SUB_002</x:t>
  </x:si>
  <x:si>
    <x:t xml:space="preserve">SUB_003</x:t>
  </x:si>
  <x:si>
    <x:t xml:space="preserve">SUB_004</x:t>
  </x:si>
  <x:si>
    <x:t xml:space="preserve">SUB_005</x:t>
  </x:si>
  <x:si>
    <x:t xml:space="preserve">SUB_007</x:t>
  </x:si>
  <x:si>
    <x:t xml:space="preserve">SUB_008</x:t>
  </x:si>
  <x:si>
    <x:t xml:space="preserve">SUB_009</x:t>
  </x:si>
  <x:si>
    <x:t xml:space="preserve">SUB_010</x:t>
  </x:si>
  <x:si>
    <x:t xml:space="preserve">SUB_012</x:t>
  </x:si>
  <x:si>
    <x:t xml:space="preserve">SUB_013</x:t>
  </x:si>
  <x:si>
    <x:t xml:space="preserve">SUB_014</x:t>
  </x:si>
  <x:si>
    <x:t xml:space="preserve">出牌次数</x:t>
  </x:si>
  <x:si>
    <x:t xml:space="preserve">SUB_015</x:t>
  </x:si>
  <x:si>
    <x:t xml:space="preserve">SUB_017</x:t>
  </x:si>
  <x:si>
    <x:t xml:space="preserve">SUB_018</x:t>
  </x:si>
  <x:si>
    <x:t xml:space="preserve">SUB_019</x:t>
  </x:si>
  <x:si>
    <x:t xml:space="preserve">SUB_020</x:t>
  </x:si>
  <x:si>
    <x:t xml:space="preserve">SUB_022</x:t>
  </x:si>
  <x:si>
    <x:t xml:space="preserve">SUB_023</x:t>
  </x:si>
  <x:si>
    <x:t xml:space="preserve">SUB_024</x:t>
  </x:si>
  <x:si>
    <x:t xml:space="preserve">SUB_025</x:t>
  </x:si>
  <x:si>
    <x:t xml:space="preserve">SUB_027</x:t>
  </x:si>
  <x:si>
    <x:t xml:space="preserve">SUB_028</x:t>
  </x:si>
  <x:si>
    <x:t xml:space="preserve">SUB_029</x:t>
  </x:si>
  <x:si>
    <x:t xml:space="preserve">SUB_030</x:t>
  </x:si>
  <x:si>
    <x:t xml:space="preserve">SUB_032</x:t>
  </x:si>
  <x:si>
    <x:t xml:space="preserve">SUB_033</x:t>
  </x:si>
  <x:si>
    <x:t xml:space="preserve">SUB_034</x:t>
  </x:si>
  <x:si>
    <x:t xml:space="preserve">SUB_035</x:t>
  </x:si>
  <x:si>
    <x:t xml:space="preserve">SUB_037</x:t>
  </x:si>
  <x:si>
    <x:t xml:space="preserve">SUB_038</x:t>
  </x:si>
  <x:si>
    <x:t xml:space="preserve">SUB_039</x:t>
  </x:si>
  <x:si>
    <x:t xml:space="preserve">SUB_040</x:t>
  </x:si>
  <x:si>
    <x:t xml:space="preserve">商品_ID</x:t>
  </x:si>
  <x:si>
    <x:t xml:space="preserve">商品名称</x:t>
  </x:si>
  <x:si>
    <x:t xml:space="preserve">商品类型</x:t>
  </x:si>
  <x:si>
    <x:t xml:space="preserve">价格</x:t>
  </x:si>
  <x:si>
    <x:t xml:space="preserve">购买次数限制</x:t>
  </x:si>
  <x:si>
    <x:t xml:space="preserve">效果类型</x:t>
  </x:si>
  <x:si>
    <x:t xml:space="preserve">效果参数1</x:t>
  </x:si>
  <x:si>
    <x:t xml:space="preserve">效果参数2</x:t>
  </x:si>
  <x:si>
    <x:t xml:space="preserve">SHOP_CARD_001</x:t>
  </x:si>
  <x:si>
    <x:t xml:space="preserve">卡牌</x:t>
  </x:si>
  <x:si>
    <x:t xml:space="preserve">增加卡牌</x:t>
  </x:si>
  <x:si>
    <x:t xml:space="preserve">SHOP_CARD_002</x:t>
  </x:si>
  <x:si>
    <x:t xml:space="preserve">SHOP_CARD_003</x:t>
  </x:si>
  <x:si>
    <x:t xml:space="preserve">SHOP_CARD_004</x:t>
  </x:si>
  <x:si>
    <x:t xml:space="preserve">SHOP_CARD_005</x:t>
  </x:si>
  <x:si>
    <x:t xml:space="preserve">SHOP_CARD_006</x:t>
  </x:si>
  <x:si>
    <x:t xml:space="preserve">SHOP_CARD_007</x:t>
  </x:si>
  <x:si>
    <x:t xml:space="preserve">SHOP_CARD_008</x:t>
  </x:si>
  <x:si>
    <x:t xml:space="preserve">SHOP_CARD_009</x:t>
  </x:si>
  <x:si>
    <x:t xml:space="preserve">SHOP_CARD_010</x:t>
  </x:si>
  <x:si>
    <x:t xml:space="preserve">SHOP_CARD_011</x:t>
  </x:si>
  <x:si>
    <x:t xml:space="preserve">SHOP_CARD_012</x:t>
  </x:si>
  <x:si>
    <x:t xml:space="preserve">SHOP_CARD_013</x:t>
  </x:si>
  <x:si>
    <x:t xml:space="preserve">SHOP_CARD_014</x:t>
  </x:si>
  <x:si>
    <x:t xml:space="preserve">SHOP_CARD_015</x:t>
  </x:si>
  <x:si>
    <x:t xml:space="preserve">SHOP_CARD_016</x:t>
  </x:si>
  <x:si>
    <x:t xml:space="preserve">SHOP_CARD_017</x:t>
  </x:si>
  <x:si>
    <x:t xml:space="preserve">SHOP_CARD_018</x:t>
  </x:si>
  <x:si>
    <x:t xml:space="preserve">SHOP_CARD_019</x:t>
  </x:si>
  <x:si>
    <x:t xml:space="preserve">SHOP_CARD_020</x:t>
  </x:si>
  <x:si>
    <x:t xml:space="preserve">SHOP_CARD_021</x:t>
  </x:si>
  <x:si>
    <x:t xml:space="preserve">SHOP_CARD_022</x:t>
  </x:si>
  <x:si>
    <x:t xml:space="preserve">SHOP_CARD_023</x:t>
  </x:si>
  <x:si>
    <x:t xml:space="preserve">SHOP_CARD_024</x:t>
  </x:si>
  <x:si>
    <x:t xml:space="preserve">SHOP_CARD_025</x:t>
  </x:si>
  <x:si>
    <x:t xml:space="preserve">SHOP_CARD_026</x:t>
  </x:si>
  <x:si>
    <x:t xml:space="preserve">SHOP_CARD_027</x:t>
  </x:si>
  <x:si>
    <x:t xml:space="preserve">SHOP_CARD_028</x:t>
  </x:si>
  <x:si>
    <x:t xml:space="preserve">SHOP_CARD_029</x:t>
  </x:si>
  <x:si>
    <x:t xml:space="preserve">SHOP_CARD_030</x:t>
  </x:si>
  <x:si>
    <x:t xml:space="preserve">SHOP_CARD_031</x:t>
  </x:si>
  <x:si>
    <x:t xml:space="preserve">SHOP_CARD_032</x:t>
  </x:si>
  <x:si>
    <x:t xml:space="preserve">SHOP_CARD_033</x:t>
  </x:si>
  <x:si>
    <x:t xml:space="preserve">SHOP_CARD_034</x:t>
  </x:si>
  <x:si>
    <x:t xml:space="preserve">SHOP_CARD_035</x:t>
  </x:si>
  <x:si>
    <x:t xml:space="preserve">SHOP_CARD_036</x:t>
  </x:si>
  <x:si>
    <x:t xml:space="preserve">SHOP_CARD_037</x:t>
  </x:si>
  <x:si>
    <x:t xml:space="preserve">SHOP_CARD_038</x:t>
  </x:si>
  <x:si>
    <x:t xml:space="preserve">SHOP_CARD_039</x:t>
  </x:si>
  <x:si>
    <x:t xml:space="preserve">SHOP_CARD_040</x:t>
  </x:si>
  <x:si>
    <x:t xml:space="preserve">SHOP_CARD_041</x:t>
  </x:si>
  <x:si>
    <x:t xml:space="preserve">SHOP_CARD_042</x:t>
  </x:si>
  <x:si>
    <x:t xml:space="preserve">SHOP_CARD_043</x:t>
  </x:si>
  <x:si>
    <x:t xml:space="preserve">SHOP_CARD_044</x:t>
  </x:si>
  <x:si>
    <x:t xml:space="preserve">SHOP_CARD_045</x:t>
  </x:si>
  <x:si>
    <x:t xml:space="preserve">SHOP_CARD_046</x:t>
  </x:si>
  <x:si>
    <x:t xml:space="preserve">SHOP_CARD_047</x:t>
  </x:si>
  <x:si>
    <x:t xml:space="preserve">SHOP_CARD_048</x:t>
  </x:si>
  <x:si>
    <x:t xml:space="preserve">SHOP_CARD_049</x:t>
  </x:si>
  <x:si>
    <x:t xml:space="preserve">SHOP_CARD_050</x:t>
  </x:si>
  <x:si>
    <x:t xml:space="preserve">SHOP_CARD_051</x:t>
  </x:si>
  <x:si>
    <x:t xml:space="preserve">SHOP_CARD_052</x:t>
  </x:si>
  <x:si>
    <x:t xml:space="preserve">SHOP_PER_001</x:t>
  </x:si>
  <x:si>
    <x:t xml:space="preserve">人格牌</x:t>
  </x:si>
  <x:si>
    <x:t xml:space="preserve">增加人格牌</x:t>
  </x:si>
  <x:si>
    <x:t xml:space="preserve">SHOP_PER_002</x:t>
  </x:si>
  <x:si>
    <x:t xml:space="preserve">SHOP_PER_003</x:t>
  </x:si>
  <x:si>
    <x:t xml:space="preserve">SHOP_PER_004</x:t>
  </x:si>
  <x:si>
    <x:t xml:space="preserve">SHOP_PER_005</x:t>
  </x:si>
  <x:si>
    <x:t xml:space="preserve">SHOP_PER_006</x:t>
  </x:si>
  <x:si>
    <x:t xml:space="preserve">SHOP_PER_007</x:t>
  </x:si>
  <x:si>
    <x:t xml:space="preserve">SHOP_PER_008</x:t>
  </x:si>
  <x:si>
    <x:t xml:space="preserve">SHOP_SERVICE_001</x:t>
  </x:si>
  <x:si>
    <x:t xml:space="preserve">筹码强化</x:t>
  </x:si>
  <x:si>
    <x:t xml:space="preserve">服务</x:t>
  </x:si>
  <x:si>
    <x:t xml:space="preserve">强化卡牌</x:t>
  </x:si>
  <x:si>
    <x:t xml:space="preserve">SHOP_SERVICE_002</x:t>
  </x:si>
  <x:si>
    <x:t xml:space="preserve">金币强化</x:t>
  </x:si>
  <x:si>
    <x:t xml:space="preserve">SHOP_SERVICE_003</x:t>
  </x:si>
  <x:si>
    <x:t xml:space="preserve">倍率强化</x:t>
  </x:si>
  <x:si>
    <x:t xml:space="preserve">SHOP_SERVICE_004</x:t>
  </x:si>
  <x:si>
    <x:t xml:space="preserve">独立乘区强化</x:t>
  </x:si>
  <x:si>
    <x:t xml:space="preserve">SHOP_SERVICE_005</x:t>
  </x:si>
  <x:si>
    <x:t xml:space="preserve">卡牌移除</x:t>
  </x:si>
  <x:si>
    <x:t xml:space="preserve">移除卡牌</x:t>
  </x:si>
  <x:si>
    <x:t xml:space="preserve">功能_ID</x:t>
  </x:si>
  <x:si>
    <x:t xml:space="preserve">功能名称</x:t>
  </x:si>
  <x:si>
    <x:t xml:space="preserve">FORGE_001</x:t>
  </x:si>
  <x:si>
    <x:t xml:space="preserve">解锁第二词条</x:t>
  </x:si>
  <x:si>
    <x:t xml:space="preserve">FORGE_002</x:t>
  </x:si>
  <x:si>
    <x:t xml:space="preserve">解锁第三词条</x:t>
  </x:si>
  <x:si>
    <x:t xml:space="preserve">刷新_ID</x:t>
  </x:si>
  <x:si>
    <x:t xml:space="preserve">商店刷新节点</x:t>
  </x:si>
  <x:si>
    <x:t xml:space="preserve">出现数量</x:t>
  </x:si>
  <x:si>
    <x:t xml:space="preserve">出现权重</x:t>
  </x:si>
  <x:si>
    <x:t xml:space="preserve">REFRESH_001</x:t>
  </x:si>
  <x:si>
    <x:t xml:space="preserve">REFRESH_002</x:t>
  </x:si>
  <x:si>
    <x:t xml:space="preserve">人格</x:t>
  </x:si>
  <x:si>
    <x:t xml:space="preserve">REFRESH_003</x:t>
  </x:si>
  <x:si>
    <x:t xml:space="preserve">REFRESH_005</x:t>
  </x:si>
  <x:si>
    <x:t xml:space="preserve">REFRESH_006</x:t>
  </x:si>
  <x:si>
    <x:t xml:space="preserve">REFRESH_007</x:t>
  </x:si>
  <x:si>
    <x:t xml:space="preserve">REFRESH_008</x:t>
  </x:si>
  <x:si>
    <x:t xml:space="preserve">REFRESH_009</x:t>
  </x:si>
  <x:si>
    <x:t xml:space="preserve">REFRESH_010</x:t>
  </x:si>
  <x:si>
    <x:t xml:space="preserve">商品池_ID</x:t>
  </x:si>
  <x:si>
    <x:t xml:space="preserve">POLL_CARD_001</x:t>
  </x:si>
  <x:si>
    <x:t xml:space="preserve">POLL_CARD_002</x:t>
  </x:si>
  <x:si>
    <x:t xml:space="preserve">POLL_CARD_003</x:t>
  </x:si>
  <x:si>
    <x:t xml:space="preserve">POLL_CARD_004</x:t>
  </x:si>
  <x:si>
    <x:t xml:space="preserve">POLL_CARD_005</x:t>
  </x:si>
  <x:si>
    <x:t xml:space="preserve">POLL_CARD_006</x:t>
  </x:si>
  <x:si>
    <x:t xml:space="preserve">POLL_CARD_007</x:t>
  </x:si>
  <x:si>
    <x:t xml:space="preserve">POLL_CARD_008</x:t>
  </x:si>
  <x:si>
    <x:t xml:space="preserve">POLL_CARD_009</x:t>
  </x:si>
  <x:si>
    <x:t xml:space="preserve">POLL_CARD_010</x:t>
  </x:si>
  <x:si>
    <x:t xml:space="preserve">POLL_CARD_011</x:t>
  </x:si>
  <x:si>
    <x:t xml:space="preserve">POLL_CARD_012</x:t>
  </x:si>
  <x:si>
    <x:t xml:space="preserve">POLL_CARD_013</x:t>
  </x:si>
  <x:si>
    <x:t xml:space="preserve">POLL_CARD_014</x:t>
  </x:si>
  <x:si>
    <x:t xml:space="preserve">POLL_CARD_015</x:t>
  </x:si>
  <x:si>
    <x:t xml:space="preserve">POLL_CARD_016</x:t>
  </x:si>
  <x:si>
    <x:t xml:space="preserve">POLL_CARD_017</x:t>
  </x:si>
  <x:si>
    <x:t xml:space="preserve">POLL_CARD_018</x:t>
  </x:si>
  <x:si>
    <x:t xml:space="preserve">POLL_CARD_019</x:t>
  </x:si>
  <x:si>
    <x:t xml:space="preserve">POLL_CARD_020</x:t>
  </x:si>
  <x:si>
    <x:t xml:space="preserve">POLL_CARD_021</x:t>
  </x:si>
  <x:si>
    <x:t xml:space="preserve">POLL_CARD_022</x:t>
  </x:si>
  <x:si>
    <x:t xml:space="preserve">POLL_CARD_023</x:t>
  </x:si>
  <x:si>
    <x:t xml:space="preserve">POLL_CARD_024</x:t>
  </x:si>
  <x:si>
    <x:t xml:space="preserve">POLL_CARD_025</x:t>
  </x:si>
  <x:si>
    <x:t xml:space="preserve">POLL_CARD_026</x:t>
  </x:si>
  <x:si>
    <x:t xml:space="preserve">POLL_CARD_027</x:t>
  </x:si>
  <x:si>
    <x:t xml:space="preserve">POLL_CARD_028</x:t>
  </x:si>
  <x:si>
    <x:t xml:space="preserve">POLL_CARD_029</x:t>
  </x:si>
  <x:si>
    <x:t xml:space="preserve">POLL_CARD_030</x:t>
  </x:si>
  <x:si>
    <x:t xml:space="preserve">POLL_CARD_031</x:t>
  </x:si>
  <x:si>
    <x:t xml:space="preserve">POLL_CARD_032</x:t>
  </x:si>
  <x:si>
    <x:t xml:space="preserve">POLL_CARD_033</x:t>
  </x:si>
  <x:si>
    <x:t xml:space="preserve">POLL_CARD_034</x:t>
  </x:si>
  <x:si>
    <x:t xml:space="preserve">POLL_CARD_035</x:t>
  </x:si>
  <x:si>
    <x:t xml:space="preserve">POLL_CARD_036</x:t>
  </x:si>
  <x:si>
    <x:t xml:space="preserve">POLL_CARD_037</x:t>
  </x:si>
  <x:si>
    <x:t xml:space="preserve">POLL_CARD_038</x:t>
  </x:si>
  <x:si>
    <x:t xml:space="preserve">POLL_CARD_039</x:t>
  </x:si>
  <x:si>
    <x:t xml:space="preserve">POLL_CARD_040</x:t>
  </x:si>
  <x:si>
    <x:t xml:space="preserve">POLL_CARD_041</x:t>
  </x:si>
  <x:si>
    <x:t xml:space="preserve">POLL_CARD_042</x:t>
  </x:si>
  <x:si>
    <x:t xml:space="preserve">POLL_CARD_043</x:t>
  </x:si>
  <x:si>
    <x:t xml:space="preserve">POLL_CARD_044</x:t>
  </x:si>
  <x:si>
    <x:t xml:space="preserve">POLL_CARD_045</x:t>
  </x:si>
  <x:si>
    <x:t xml:space="preserve">POLL_CARD_046</x:t>
  </x:si>
  <x:si>
    <x:t xml:space="preserve">POLL_CARD_047</x:t>
  </x:si>
  <x:si>
    <x:t xml:space="preserve">POLL_CARD_048</x:t>
  </x:si>
  <x:si>
    <x:t xml:space="preserve">POLL_CARD_049</x:t>
  </x:si>
  <x:si>
    <x:t xml:space="preserve">POLL_CARD_050</x:t>
  </x:si>
  <x:si>
    <x:t xml:space="preserve">POLL_CARD_051</x:t>
  </x:si>
  <x:si>
    <x:t xml:space="preserve">POLL_CARD_052</x:t>
  </x:si>
  <x:si>
    <x:t xml:space="preserve">POOL_PERSONA_001</x:t>
  </x:si>
  <x:si>
    <x:t xml:space="preserve">POOL_PERSONA_002</x:t>
  </x:si>
  <x:si>
    <x:t xml:space="preserve">POOL_PERSONA_003</x:t>
  </x:si>
  <x:si>
    <x:t xml:space="preserve">POOL_PERSONA_004</x:t>
  </x:si>
  <x:si>
    <x:t xml:space="preserve">POOL_PERSONA_005</x:t>
  </x:si>
  <x:si>
    <x:t xml:space="preserve">POOL_PERSONA_006</x:t>
  </x:si>
  <x:si>
    <x:t xml:space="preserve">POOL_PERSONA_007</x:t>
  </x:si>
  <x:si>
    <x:t xml:space="preserve">POOL_PERSONA_008</x:t>
  </x:si>
  <x:si>
    <x:t xml:space="preserve">POOL_SERVICE_001</x:t>
  </x:si>
  <x:si>
    <x:t xml:space="preserve">POOL_SERVICE_002</x:t>
  </x:si>
  <x:si>
    <x:t xml:space="preserve">POOL_SERVICE_003</x:t>
  </x:si>
  <x:si>
    <x:t xml:space="preserve">POOL_SERVICE_004</x:t>
  </x:si>
  <x:si>
    <x:t xml:space="preserve">POOL_SERVICE_005</x:t>
  </x:si>
  <x:si>
    <x:t xml:space="preserve">品质名称</x:t>
  </x:si>
  <x:si>
    <x:t xml:space="preserve">品质等级</x:t>
  </x:si>
  <x:si>
    <x:t xml:space="preserve">普通</x:t>
  </x:si>
  <x:si>
    <x:t xml:space="preserve">稀有</x:t>
  </x:si>
  <x:si>
    <x:t xml:space="preserve">比较符_ID</x:t>
  </x:si>
  <x:si>
    <x:t xml:space="preserve">中文名称</x:t>
  </x:si>
  <x:si>
    <x:t xml:space="preserve">说明</x:t>
  </x:si>
  <x:si>
    <x:t xml:space="preserve">等于</x:t>
  </x:si>
  <x:si>
    <x:t xml:space="preserve">目标值完全相同</x:t>
  </x:si>
  <x:si>
    <x:t xml:space="preserve">不等于</x:t>
  </x:si>
  <x:si>
    <x:t xml:space="preserve">目标值不同</x:t>
  </x:si>
  <x:si>
    <x:t xml:space="preserve">GT</x:t>
  </x:si>
  <x:si>
    <x:t xml:space="preserve">大于</x:t>
  </x:si>
  <x:si>
    <x:t xml:space="preserve">超过目标值</x:t>
  </x:si>
  <x:si>
    <x:t xml:space="preserve">大于等于</x:t>
  </x:si>
  <x:si>
    <x:t xml:space="preserve">达到目标值</x:t>
  </x:si>
  <x:si>
    <x:t xml:space="preserve">LT</x:t>
  </x:si>
  <x:si>
    <x:t xml:space="preserve">小于</x:t>
  </x:si>
  <x:si>
    <x:t xml:space="preserve">低于目标值</x:t>
  </x:si>
  <x:si>
    <x:t xml:space="preserve">小于等于</x:t>
  </x:si>
  <x:si>
    <x:t xml:space="preserve">不超过目标值</x:t>
  </x:si>
  <x:si>
    <x:t xml:space="preserve">IN</x:t>
  </x:si>
  <x:si>
    <x:t xml:space="preserve">包含</x:t>
  </x:si>
  <x:si>
    <x:t xml:space="preserve">属于指定列表</x:t>
  </x:si>
  <x:si>
    <x:t xml:space="preserve">NOT_IN</x:t>
  </x:si>
  <x:si>
    <x:t xml:space="preserve">不包含</x:t>
  </x:si>
  <x:si>
    <x:t xml:space="preserve">不属于指定列表</x:t>
  </x:si>
  <x:si>
    <x:t xml:space="preserve">图片_ID</x:t>
  </x:si>
  <x:si>
    <x:t xml:space="preserve">卡牌链接</x:t>
  </x:si>
  <x:si>
    <x:t xml:space="preserve">IMAGE_001</x:t>
  </x:si>
  <x:si>
    <x:t xml:space="preserve">IMAGE_002</x:t>
  </x:si>
  <x:si>
    <x:t xml:space="preserve">IMAGE_003</x:t>
  </x:si>
  <x:si>
    <x:t xml:space="preserve">IMAGE_004</x:t>
  </x:si>
  <x:si>
    <x:t xml:space="preserve">IMAGE_005</x:t>
  </x:si>
  <x:si>
    <x:t xml:space="preserve">IMAGE_006</x:t>
  </x:si>
  <x:si>
    <x:t xml:space="preserve">IMAGE_007</x:t>
  </x:si>
  <x:si>
    <x:t xml:space="preserve">IMAGE_008</x:t>
  </x:si>
  <x:si>
    <x:t xml:space="preserve">IMAGE_009</x:t>
  </x:si>
  <x:si>
    <x:t xml:space="preserve">IMAGE_010</x:t>
  </x:si>
  <x:si>
    <x:t xml:space="preserve">IMAGE_011</x:t>
  </x:si>
  <x:si>
    <x:t xml:space="preserve">IMAGE_012</x:t>
  </x:si>
  <x:si>
    <x:t xml:space="preserve">IMAGE_013</x:t>
  </x:si>
  <x:si>
    <x:t xml:space="preserve">IMAGE_014</x:t>
  </x:si>
  <x:si>
    <x:t xml:space="preserve">IMAGE_015</x:t>
  </x:si>
  <x:si>
    <x:t xml:space="preserve">IMAGE_016</x:t>
  </x:si>
  <x:si>
    <x:t xml:space="preserve">IMAGE_017</x:t>
  </x:si>
  <x:si>
    <x:t xml:space="preserve">IMAGE_018</x:t>
  </x:si>
  <x:si>
    <x:t xml:space="preserve">IMAGE_019</x:t>
  </x:si>
  <x:si>
    <x:t xml:space="preserve">IMAGE_020</x:t>
  </x:si>
  <x:si>
    <x:t xml:space="preserve">IMAGE_021</x:t>
  </x:si>
  <x:si>
    <x:t xml:space="preserve">IMAGE_022</x:t>
  </x:si>
  <x:si>
    <x:t xml:space="preserve">IMAGE_023</x:t>
  </x:si>
  <x:si>
    <x:t xml:space="preserve">IMAGE_024</x:t>
  </x:si>
  <x:si>
    <x:t xml:space="preserve">IMAGE_025</x:t>
  </x:si>
  <x:si>
    <x:t xml:space="preserve">IMAGE_026</x:t>
  </x:si>
  <x:si>
    <x:t xml:space="preserve">IMAGE_027</x:t>
  </x:si>
  <x:si>
    <x:t xml:space="preserve">IMAGE_028</x:t>
  </x:si>
  <x:si>
    <x:t xml:space="preserve">IMAGE_029</x:t>
  </x:si>
  <x:si>
    <x:t xml:space="preserve">IMAGE_030</x:t>
  </x:si>
  <x:si>
    <x:t xml:space="preserve">IMAGE_031</x:t>
  </x:si>
  <x:si>
    <x:t xml:space="preserve">IMAGE_032</x:t>
  </x:si>
  <x:si>
    <x:t xml:space="preserve">IMAGE_033</x:t>
  </x:si>
  <x:si>
    <x:t xml:space="preserve">IMAGE_034</x:t>
  </x:si>
  <x:si>
    <x:t xml:space="preserve">IMAGE_035</x:t>
  </x:si>
  <x:si>
    <x:t xml:space="preserve">IMAGE_036</x:t>
  </x:si>
  <x:si>
    <x:t xml:space="preserve">IMAGE_037</x:t>
  </x:si>
  <x:si>
    <x:t xml:space="preserve">IMAGE_038</x:t>
  </x:si>
  <x:si>
    <x:t xml:space="preserve">IMAGE_039</x:t>
  </x:si>
  <x:si>
    <x:t xml:space="preserve">IMAGE_040</x:t>
  </x:si>
  <x:si>
    <x:t xml:space="preserve">IMAGE_041</x:t>
  </x:si>
  <x:si>
    <x:t xml:space="preserve">IMAGE_042</x:t>
  </x:si>
  <x:si>
    <x:t xml:space="preserve">IMAGE_043</x:t>
  </x:si>
  <x:si>
    <x:t xml:space="preserve">IMAGE_044</x:t>
  </x:si>
  <x:si>
    <x:t xml:space="preserve">IMAGE_045</x:t>
  </x:si>
  <x:si>
    <x:t xml:space="preserve">IMAGE_046</x:t>
  </x:si>
  <x:si>
    <x:t xml:space="preserve">IMAGE_047</x:t>
  </x:si>
  <x:si>
    <x:t xml:space="preserve">IMAGE_048</x:t>
  </x:si>
  <x:si>
    <x:t xml:space="preserve">IMAGE_049</x:t>
  </x:si>
  <x:si>
    <x:t xml:space="preserve">IMAGE_050</x:t>
  </x:si>
  <x:si>
    <x:t xml:space="preserve">IMAGE_051</x:t>
  </x:si>
  <x:si>
    <x:t xml:space="preserve">IMAGE_052</x:t>
  </x:si>
  <x:si>
    <x:t xml:space="preserve">IMAGE_053</x:t>
  </x:si>
  <x:si>
    <x:t xml:space="preserve">牌型ICON</x:t>
  </x:si>
  <x:si>
    <x:t xml:space="preserve">IMAGE_054</x:t>
  </x:si>
  <x:si>
    <x:t xml:space="preserve">IMAGE_055</x:t>
  </x:si>
  <x:si>
    <x:t xml:space="preserve">IMAGE_056</x:t>
  </x:si>
  <x:si>
    <x:t xml:space="preserve">IMAGE_057</x:t>
  </x:si>
  <x:si>
    <x:t xml:space="preserve">IMAGE_058</x:t>
  </x:si>
  <x:si>
    <x:t xml:space="preserve">IMAGE_059</x:t>
  </x:si>
  <x:si>
    <x:t xml:space="preserve">IMAGE_060</x:t>
  </x:si>
  <x:si>
    <x:t xml:space="preserve">IMAGE_061</x:t>
  </x:si>
  <x:si>
    <x:t xml:space="preserve">IMAGE_062</x:t>
  </x:si>
  <x:si>
    <x:t xml:space="preserve">IMAGE_063</x:t>
  </x:si>
  <x:si>
    <x:t xml:space="preserve">IMAGE_064</x:t>
  </x:si>
  <x:si>
    <x:t xml:space="preserve">人格牌原画</x:t>
  </x:si>
  <x:si>
    <x:t xml:space="preserve">IMAGE_065</x:t>
  </x:si>
  <x:si>
    <x:t xml:space="preserve">IMAGE_066</x:t>
  </x:si>
  <x:si>
    <x:t xml:space="preserve">IMAGE_067</x:t>
  </x:si>
  <x:si>
    <x:t xml:space="preserve">IMAGE_068</x:t>
  </x:si>
  <x:si>
    <x:t xml:space="preserve">IMAGE_069</x:t>
  </x:si>
  <x:si>
    <x:t xml:space="preserve">IMAGE_070</x:t>
  </x:si>
  <x:si>
    <x:t xml:space="preserve">IMAGE_071</x:t>
  </x:si>
  <x:si>
    <x:t xml:space="preserve">IMAGE_072</x:t>
  </x:si>
  <x:si>
    <x:t xml:space="preserve">人格牌09</x:t>
  </x:si>
  <x:si>
    <x:t xml:space="preserve">IMAGE_073</x:t>
  </x:si>
  <x:si>
    <x:t xml:space="preserve">人格牌10</x:t>
  </x:si>
  <x:si>
    <x:t xml:space="preserve">IMAGE_074</x:t>
  </x:si>
  <x:si>
    <x:t xml:space="preserve">人格牌11</x:t>
  </x:si>
  <x:si>
    <x:t xml:space="preserve">IMAGE_075</x:t>
  </x:si>
  <x:si>
    <x:t xml:space="preserve">人格牌12</x:t>
  </x:si>
  <x:si>
    <x:t xml:space="preserve">IMAGE_076</x:t>
  </x:si>
  <x:si>
    <x:t xml:space="preserve">人格牌13</x:t>
  </x:si>
  <x:si>
    <x:t xml:space="preserve">IMAGE_077</x:t>
  </x:si>
  <x:si>
    <x:t xml:space="preserve">人格牌14</x:t>
  </x:si>
  <x:si>
    <x:t xml:space="preserve">IMAGE_078</x:t>
  </x:si>
  <x:si>
    <x:t xml:space="preserve">人格牌15</x:t>
  </x:si>
  <x:si>
    <x:t xml:space="preserve">IMAGE_079</x:t>
  </x:si>
  <x:si>
    <x:t xml:space="preserve">人格牌16</x:t>
  </x:si>
  <x:si>
    <x:t xml:space="preserve">IMAGE_080</x:t>
  </x:si>
  <x:si>
    <x:t xml:space="preserve">主界面</x:t>
  </x:si>
  <x:si>
    <x:t xml:space="preserve">背景底图</x:t>
  </x:si>
  <x:si>
    <x:t xml:space="preserve">IMAGE_081</x:t>
  </x:si>
  <x:si>
    <x:t xml:space="preserve">设置界面</x:t>
  </x:si>
  <x:si>
    <x:t xml:space="preserve">IMAGE_082</x:t>
  </x:si>
  <x:si>
    <x:t xml:space="preserve">战斗界面</x:t>
  </x:si>
  <x:si>
    <x:t xml:space="preserve">IMAGE_083</x:t>
  </x:si>
  <x:si>
    <x:t xml:space="preserve">准备界面</x:t>
  </x:si>
  <x:si>
    <x:t xml:space="preserve">IMAGE_084</x:t>
  </x:si>
  <x:si>
    <x:t xml:space="preserve">结算界面</x:t>
  </x:si>
  <x:si>
    <x:t xml:space="preserve">IMAGE_085</x:t>
  </x:si>
  <x:si>
    <x:t xml:space="preserve">报告界面</x:t>
  </x:si>
  <x:si>
    <x:t xml:space="preserve">IMAGE_086</x:t>
  </x:si>
  <x:si>
    <x:t xml:space="preserve">商店界面</x:t>
  </x:si>
  <x:si>
    <x:t xml:space="preserve">IMAGE_087</x:t>
  </x:si>
  <x:si>
    <x:t xml:space="preserve">仓库界面</x:t>
  </x:si>
  <x:si>
    <x:t xml:space="preserve">IMAGE_088</x:t>
  </x:si>
  <x:si>
    <x:t xml:space="preserve">战斗界面_牌堆</x:t>
  </x:si>
  <x:si>
    <x:t xml:space="preserve">ICON</x:t>
  </x:si>
  <x:si>
    <x:t xml:space="preserve">IMAGE_089</x:t>
  </x:si>
  <x:si>
    <x:t xml:space="preserve">战斗界面_卡牌</x:t>
  </x:si>
  <x:si>
    <x:t xml:space="preserve">IMAGE_090</x:t>
  </x:si>
  <x:si>
    <x:t xml:space="preserve">商店界面_金币</x:t>
  </x:si>
  <x:si>
    <x:t xml:space="preserve">IMAGE_091</x:t>
  </x:si>
  <x:si>
    <x:t xml:space="preserve">设置界面_画面</x:t>
  </x:si>
  <x:si>
    <x:t xml:space="preserve">IMAGE_092</x:t>
  </x:si>
  <x:si>
    <x:t xml:space="preserve">设置界面_声音</x:t>
  </x:si>
  <x:si>
    <x:t xml:space="preserve">IMAGE_093</x:t>
  </x:si>
  <x:si>
    <x:t xml:space="preserve">设置界面_操作</x:t>
  </x:si>
  <x:si>
    <x:t xml:space="preserve">IMAGE_094</x:t>
  </x:si>
  <x:si>
    <x:t xml:space="preserve">Boss原画</x:t>
  </x:si>
  <x:si>
    <x:t xml:space="preserve">IMAGE_095</x:t>
  </x:si>
  <x:si>
    <x:t xml:space="preserve">IMAGE_096</x:t>
  </x:si>
  <x:si>
    <x:t xml:space="preserve">IMAGE_097</x:t>
  </x:si>
  <x:si>
    <x:t xml:space="preserve">IMAGE_098</x:t>
  </x:si>
  <x:si>
    <x:t xml:space="preserve">IMAGE_099</x:t>
  </x:si>
  <x:si>
    <x:t xml:space="preserve">IMAGE_100</x:t>
  </x:si>
  <x:si>
    <x:t xml:space="preserve">IMAGE_101</x:t>
  </x:si>
  <x:si>
    <x:t xml:space="preserve">IMAGE_102</x:t>
  </x:si>
  <x:si>
    <x:t xml:space="preserve">IMAGE_103</x:t>
  </x:si>
</x:sst>
</file>

<file path=xl/styles.xml><?xml version="1.0" encoding="utf-8"?>
<x:styleSheet xmlns:x="http://schemas.openxmlformats.org/spreadsheetml/2006/main">
  <x:numFmts count="4">
    <x:numFmt numFmtId="200" formatCode="#,##0"/>
    <x:numFmt numFmtId="201" formatCode="0.##"/>
    <x:numFmt numFmtId="202" formatCode="0.00##"/>
    <x:numFmt numFmtId="203" formatCode="0.00%"/>
  </x:numFmts>
  <x:fonts count="14">
    <x:font>
      <x:sz val="11"/>
      <x:color theme="1"/>
      <x:name val="等线"/>
    </x:font>
    <x:font>
      <x:sz val="9"/>
      <x:name val="等线"/>
    </x:font>
    <x:font>
      <x:sz val="9"/>
      <x:name val="宋体"/>
    </x:font>
    <x:font>
      <x:b/>
      <x:sz val="11"/>
      <x:color theme="1"/>
      <x:name val="等线"/>
    </x:font>
    <x:font>
      <x:sz val="11"/>
      <x:name val="Carlito"/>
    </x:font>
    <x:font>
      <x:b/>
      <x:sz val="11"/>
      <x:name val="宋体"/>
    </x:font>
    <x:font>
      <x:sz val="10"/>
      <x:color theme="1"/>
      <x:name val="等线"/>
    </x:font>
    <x:font>
      <x:sz val="11"/>
      <x:color theme="1"/>
      <x:name val="等线"/>
    </x:font>
    <x:font>
      <x:b/>
      <x:sz val="18"/>
      <x:color rgb="FFFFFFFF"/>
      <x:name val="等线"/>
    </x:font>
    <x:font>
      <x:i/>
      <x:sz val="10"/>
      <x:color rgb="FF1F2937"/>
      <x:name val="等线"/>
    </x:font>
    <x:font>
      <x:b/>
      <x:sz val="12"/>
      <x:color rgb="FFFFFFFF"/>
      <x:name val="等线"/>
    </x:font>
    <x:font>
      <x:b/>
      <x:sz val="11"/>
      <x:color rgb="FFFFFFFF"/>
      <x:name val="等线"/>
    </x:font>
    <x:font>
      <x:sz val="10"/>
      <x:color rgb="FF1F2937"/>
      <x:name val="等线"/>
    </x:font>
    <x:font>
      <x:b/>
      <x:sz val="10"/>
      <x:color rgb="FF0F766E"/>
      <x:name val="等线"/>
    </x:font>
  </x:fonts>
  <x:fills count="11">
    <x:fill>
      <x:patternFill patternType="none"/>
    </x:fill>
    <x:fill>
      <x:patternFill patternType="gray125"/>
    </x:fill>
    <x:fill>
      <x:patternFill patternType="solid">
        <x:fgColor theme="4" tint="0.39998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0F766E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BF9000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2">
    <x:xf numFmtId="0" fontId="0" fillId="0" borderId="0"/>
    <x:xf numFmtId="0" fontId="4" fillId="0" borderId="0"/>
  </x:cellStyleXfs>
  <x:cellXfs count="73">
    <x:xf numFmtId="0" fontId="0" fillId="0" borderId="0" xfId="0"/>
    <x:xf numFmtId="0" fontId="0" fillId="0" borderId="0" xfId="0" applyAlignment="1">
      <x:alignment horizontal="right"/>
    </x:xf>
    <x:xf numFmtId="0" fontId="3" fillId="2" borderId="0" xfId="0" applyFont="1" applyFill="1"/>
    <x:xf numFmtId="0" fontId="3" fillId="0" borderId="0" xfId="0" applyFont="1" applyAlignment="1">
      <x:alignment horizontal="center" vertical="center" wrapText="1"/>
    </x:xf>
    <x:xf numFmtId="0" fontId="0" fillId="0" borderId="0" xfId="0" applyAlignment="1">
      <x:alignment horizontal="right" vertical="center" wrapText="1"/>
    </x:xf>
    <x:xf numFmtId="0" fontId="3" fillId="0" borderId="0" xfId="0" applyFont="1" applyAlignment="1">
      <x:alignment horizontal="right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/>
    </x:xf>
    <x:xf numFmtId="0" fontId="0" fillId="0" borderId="0" xfId="0" applyAlignment="1">
      <x:alignment horizontal="right" wrapText="1"/>
    </x:xf>
    <x:xf numFmtId="0" fontId="3" fillId="2" borderId="0" xfId="0" applyFont="1" applyFill="1" applyAlignment="1">
      <x:alignment horizontal="left" wrapText="1"/>
    </x:xf>
    <x:xf numFmtId="10" fontId="0" fillId="0" borderId="0" xfId="0" applyNumberFormat="1"/>
    <x:xf numFmtId="0" fontId="3" fillId="2" borderId="0" xfId="0" applyFont="1" applyFill="1" applyAlignment="1">
      <x:alignment horizontal="center"/>
    </x:xf>
    <x:xf numFmtId="0" fontId="5" fillId="2" borderId="0" xfId="0" applyFont="1" applyFill="1" applyAlignment="1">
      <x:alignment vertical="center" wrapText="1"/>
    </x:xf>
    <x:xf numFmtId="0" fontId="0" fillId="0" borderId="0" xfId="0" applyAlignment="1">
      <x:alignment horizontal="left" vertical="center" wrapText="1"/>
    </x:xf>
    <x:xf numFmtId="0" fontId="6" fillId="0" borderId="0" xfId="0" applyFont="1"/>
    <x:xf numFmtId="10" fontId="0" fillId="0" borderId="0" xfId="0" applyNumberFormat="1" applyAlignment="1">
      <x:alignment vertical="center" wrapText="1"/>
    </x:xf>
    <x:xf numFmtId="0" fontId="0" fillId="2" borderId="0" xfId="0" applyFill="1"/>
    <x:xf numFmtId="9" fontId="0" fillId="0" borderId="0" xfId="0" applyNumberFormat="1" applyAlignment="1">
      <x:alignment vertical="center" wrapText="1"/>
    </x:xf>
    <x:xf numFmtId="0" fontId="0" fillId="0" borderId="0" xfId="0" applyAlignment="1">
      <x:alignment wrapText="1"/>
    </x:xf>
    <x:xf numFmtId="9" fontId="0" fillId="0" borderId="0" xfId="0" applyNumberFormat="1"/>
    <x:xf numFmtId="0" fontId="5" fillId="2" borderId="0" xfId="0" applyFont="1" applyFill="1" applyAlignment="1">
      <x:alignment horizontal="left" wrapText="1"/>
    </x:xf>
    <x:xf numFmtId="0" fontId="5" fillId="2" borderId="0" xfId="0" applyFont="1" applyFill="1" applyAlignment="1">
      <x:alignment horizontal="left" vertical="center" wrapText="1"/>
    </x:xf>
    <x:xf numFmtId="0" fontId="3" fillId="2" borderId="0" xfId="0" applyFont="1" applyFill="1" applyAlignment="1">
      <x:alignment horizontal="left"/>
    </x:xf>
    <x:xf numFmtId="0" fontId="0" fillId="2" borderId="0" xfId="0" applyFill="1" applyAlignment="1">
      <x:alignment horizontal="left"/>
    </x:xf>
    <x:xf numFmtId="0" fontId="7" fillId="0" borderId="0" xfId="0" applyFont="1"/>
    <x:xf numFmtId="0" fontId="0" fillId="0" borderId="0" xfId="0" applyAlignment="1">
      <x:alignment horizontal="left" wrapText="1"/>
    </x:xf>
    <x:xf numFmtId="0" fontId="3" fillId="2" borderId="0" xfId="0" applyFont="1" applyFill="1" applyAlignment="1">
      <x:alignment horizontal="left" vertical="center" wrapText="1"/>
    </x:xf>
    <x:xf numFmtId="0" fontId="3" fillId="2" borderId="0" xfId="0" applyFont="1" applyFill="1" applyAlignment="1">
      <x:alignment wrapText="1"/>
    </x:xf>
    <x:xf numFmtId="58" fontId="0" fillId="0" borderId="0" xfId="0" applyNumberFormat="1" applyAlignment="1">
      <x:alignment horizontal="left" wrapText="1"/>
    </x:xf>
    <x:xf numFmtId="0" fontId="0" fillId="0" borderId="0" xfId="0" applyAlignment="1">
      <x:alignment horizontal="left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2" xfId="0" applyNumberFormat="1" applyFont="1" applyFill="1" applyBorder="1"/>
    <x:xf numFmtId="0" fontId="12" fillId="0" borderId="3" xfId="0" applyNumberFormat="1" applyFont="1" applyFill="1" applyBorder="1"/>
    <x:xf numFmtId="0" fontId="12" fillId="0" borderId="2" xfId="0" applyNumberFormat="1" applyFont="1" applyFill="1" applyBorder="1" applyAlignment="1">
      <x:alignment wrapText="1"/>
    </x:xf>
    <x:xf numFmtId="0" fontId="12" fillId="0" borderId="3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vertical="top" wrapText="1"/>
    </x:xf>
    <x:xf numFmtId="0" fontId="12" fillId="0" borderId="3" xfId="0" applyNumberFormat="1" applyFont="1" applyFill="1" applyBorder="1" applyAlignment="1">
      <x:alignment vertical="top" wrapText="1"/>
    </x:xf>
    <x:xf numFmtId="0" fontId="12" fillId="7" borderId="2" xfId="0" applyNumberFormat="1" applyFont="1" applyFill="1" applyBorder="1" applyAlignment="1">
      <x:alignment vertical="top" wrapText="1"/>
    </x:xf>
    <x:xf numFmtId="0" fontId="12" fillId="7" borderId="3" xfId="0" applyNumberFormat="1" applyFont="1" applyFill="1" applyBorder="1" applyAlignment="1">
      <x:alignment vertical="top" wrapText="1"/>
    </x:xf>
    <x:xf numFmtId="0" fontId="13" fillId="7" borderId="2" xfId="0" applyNumberFormat="1" applyFont="1" applyFill="1" applyBorder="1" applyAlignment="1">
      <x:alignment vertical="top" wrapText="1"/>
    </x:xf>
    <x:xf numFmtId="0" fontId="13" fillId="7" borderId="3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200" fontId="12" fillId="0" borderId="2" xfId="0" applyNumberFormat="1" applyFont="1" applyFill="1" applyBorder="1" applyAlignment="1">
      <x:alignment vertical="top" wrapText="1"/>
    </x:xf>
    <x:xf numFmtId="200" fontId="12" fillId="0" borderId="3" xfId="0" applyNumberFormat="1" applyFont="1" applyFill="1" applyBorder="1" applyAlignment="1">
      <x:alignment vertical="top" wrapText="1"/>
    </x:xf>
    <x:xf numFmtId="0" fontId="12" fillId="8" borderId="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12" fillId="8" borderId="2" xfId="0" applyNumberFormat="1" applyFont="1" applyFill="1" applyBorder="1" applyAlignment="1">
      <x:alignment vertical="top" wrapText="1"/>
    </x:xf>
    <x:xf numFmtId="201" fontId="12" fillId="0" borderId="2" xfId="0" applyNumberFormat="1" applyFont="1" applyFill="1" applyBorder="1" applyAlignment="1">
      <x:alignment vertical="top" wrapText="1"/>
    </x:xf>
    <x:xf numFmtId="201" fontId="12" fillId="0" borderId="3" xfId="0" applyNumberFormat="1" applyFont="1" applyFill="1" applyBorder="1" applyAlignment="1">
      <x:alignment vertical="top" wrapText="1"/>
    </x:xf>
    <x:xf numFmtId="202" fontId="12" fillId="0" borderId="2" xfId="0" applyNumberFormat="1" applyFont="1" applyFill="1" applyBorder="1" applyAlignment="1">
      <x:alignment vertical="top" wrapText="1"/>
    </x:xf>
    <x:xf numFmtId="202" fontId="12" fillId="0" borderId="3" xfId="0" applyNumberFormat="1" applyFont="1" applyFill="1" applyBorder="1" applyAlignment="1">
      <x:alignment vertical="top" wrapText="1"/>
    </x:xf>
    <x:xf numFmtId="203" fontId="12" fillId="0" borderId="2" xfId="0" applyNumberFormat="1" applyFont="1" applyFill="1" applyBorder="1" applyAlignment="1">
      <x:alignment vertical="top" wrapText="1"/>
    </x:xf>
    <x:xf numFmtId="203" fontId="12" fillId="0" borderId="3" xfId="0" applyNumberFormat="1" applyFont="1" applyFill="1" applyBorder="1" applyAlignment="1">
      <x:alignment vertical="top" wrapText="1"/>
    </x:xf>
    <x:xf numFmtId="0" fontId="12" fillId="10" borderId="2" xfId="0" applyNumberFormat="1" applyFont="1" applyFill="1" applyBorder="1" applyAlignment="1">
      <x:alignment vertical="top" wrapText="1"/>
    </x:xf>
    <x:xf numFmtId="0" fontId="12" fillId="10" borderId="3" xfId="0" applyNumberFormat="1" applyFont="1" applyFill="1" applyBorder="1" applyAlignment="1">
      <x:alignment vertical="top" wrapText="1"/>
    </x:xf>
  </x:cellXfs>
  <x:cellStyles count="2">
    <x:cellStyle name="Normal" xfId="1"/>
    <x:cellStyle name="常规" xfId="0"/>
  </x:cellStyles>
  <x:dxfs count="9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9000"/>
      </x:font>
      <x:fill>
        <x:patternFill patternType="solid">
          <x:bgColor rgb="FFFFF2CC"/>
        </x:patternFill>
      </x:fill>
    </x:dxf>
    <x:dxf>
      <x:font>
        <x:b/>
        <x:color rgb="FF0F766E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F766E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9000"/>
      </x:font>
      <x:fill>
        <x:patternFill patternType="solid">
          <x:bgColor rgb="FFFFF2CC"/>
        </x:patternFill>
      </x:fill>
    </x:dxf>
    <x:dxf>
      <x:font>
        <x:b/>
        <x:color rgb="FFBF9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c29dd4bba497c" /><Relationship Type="http://schemas.openxmlformats.org/officeDocument/2006/relationships/theme" Target="/xl/theme/theme1.xml" Id="Raa9c8af6fe264e5c" /><Relationship Type="http://schemas.openxmlformats.org/officeDocument/2006/relationships/sharedStrings" Target="/xl/sharedStrings.xml" Id="Rbe05f707e11a4dce" /><Relationship Type="http://schemas.openxmlformats.org/officeDocument/2006/relationships/worksheet" Target="/xl/worksheets/sheet1.xml" Id="R937215cc7c9c486f" /><Relationship Type="http://schemas.openxmlformats.org/officeDocument/2006/relationships/worksheet" Target="/xl/worksheets/sheet2.xml" Id="R725062f849a34866" /><Relationship Type="http://schemas.openxmlformats.org/officeDocument/2006/relationships/worksheet" Target="/xl/worksheets/sheet3.xml" Id="R3d8dfe0b748e4dbd" /><Relationship Type="http://schemas.openxmlformats.org/officeDocument/2006/relationships/worksheet" Target="/xl/worksheets/sheet4.xml" Id="Rfac7798d0da149a4" /><Relationship Type="http://schemas.openxmlformats.org/officeDocument/2006/relationships/worksheet" Target="/xl/worksheets/sheet5.xml" Id="R420cd3fea9ce4739" /><Relationship Type="http://schemas.openxmlformats.org/officeDocument/2006/relationships/worksheet" Target="/xl/worksheets/sheet6.xml" Id="Ra3ebe8c9b6574783" /><Relationship Type="http://schemas.openxmlformats.org/officeDocument/2006/relationships/worksheet" Target="/xl/worksheets/sheet7.xml" Id="R391cc7646ff94dfa" /><Relationship Type="http://schemas.openxmlformats.org/officeDocument/2006/relationships/worksheet" Target="/xl/worksheets/sheet8.xml" Id="R6f0d487dfd544678" /><Relationship Type="http://schemas.openxmlformats.org/officeDocument/2006/relationships/worksheet" Target="/xl/worksheets/sheet9.xml" Id="Rb0473e62a6844cb8" /><Relationship Type="http://schemas.openxmlformats.org/officeDocument/2006/relationships/worksheet" Target="/xl/worksheets/sheet10.xml" Id="R13bbad8ad0b141cb" /><Relationship Type="http://schemas.openxmlformats.org/officeDocument/2006/relationships/worksheet" Target="/xl/worksheets/sheet11.xml" Id="R7918235bf3e74cf2" /><Relationship Type="http://schemas.openxmlformats.org/officeDocument/2006/relationships/worksheet" Target="/xl/worksheets/sheet12.xml" Id="Rd0fa1b6702bd42e1" /><Relationship Type="http://schemas.openxmlformats.org/officeDocument/2006/relationships/worksheet" Target="/xl/worksheets/sheet13.xml" Id="Re3211879d7904f3a" /><Relationship Type="http://schemas.openxmlformats.org/officeDocument/2006/relationships/worksheet" Target="/xl/worksheets/sheet14.xml" Id="R39befdbeafe74eda" /><Relationship Type="http://schemas.openxmlformats.org/officeDocument/2006/relationships/worksheet" Target="/xl/worksheets/sheet15.xml" Id="Rbaae66c4c48f4516" /><Relationship Type="http://schemas.openxmlformats.org/officeDocument/2006/relationships/worksheet" Target="/xl/worksheets/sheet16.xml" Id="Rc989817688e845e4" /><Relationship Type="http://schemas.openxmlformats.org/officeDocument/2006/relationships/worksheet" Target="/xl/worksheets/sheet17.xml" Id="R5ae5df08c498467b" /><Relationship Type="http://schemas.openxmlformats.org/officeDocument/2006/relationships/worksheet" Target="/xl/worksheets/sheet18.xml" Id="Rb87ca3d79d024352" /><Relationship Type="http://schemas.openxmlformats.org/officeDocument/2006/relationships/worksheet" Target="/xl/worksheets/sheet19.xml" Id="R3f1eafa3074d41b0" /><Relationship Type="http://schemas.openxmlformats.org/officeDocument/2006/relationships/worksheet" Target="/xl/worksheets/sheet20.xml" Id="R7721d9cf3b3a40ce" /><Relationship Type="http://schemas.openxmlformats.org/officeDocument/2006/relationships/worksheet" Target="/xl/worksheets/sheet21.xml" Id="R116ef9619db64b68" /><Relationship Type="http://schemas.openxmlformats.org/officeDocument/2006/relationships/worksheet" Target="/xl/worksheets/sheet22.xml" Id="R0df021a7e4084754" /><Relationship Type="http://schemas.openxmlformats.org/officeDocument/2006/relationships/worksheet" Target="/xl/worksheets/sheet23.xml" Id="R49ca74a678a646a3" /><Relationship Type="http://schemas.openxmlformats.org/officeDocument/2006/relationships/worksheet" Target="/xl/worksheets/sheet24.xml" Id="R459cbd9bac21492c" /><Relationship Type="http://schemas.openxmlformats.org/officeDocument/2006/relationships/worksheet" Target="/xl/worksheets/sheet25.xml" Id="R77f5b1fa1ffa4009" /><Relationship Type="http://schemas.openxmlformats.org/officeDocument/2006/relationships/worksheet" Target="/xl/worksheets/sheet26.xml" Id="R4d190b8f69074f36" /><Relationship Type="http://schemas.openxmlformats.org/officeDocument/2006/relationships/worksheet" Target="/xl/worksheets/sheet27.xml" Id="R7a142197a7774431" /><Relationship Type="http://schemas.microsoft.com/office/2017/10/relationships/person" Target="/xl/persons/person.xml" Id="R3d62f16c91444c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a1bec3987e44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累计收入与培养成本（金币）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金币</c:v>
          </c:tx>
          <c:cat>
            <c:strRef>
              <c:f>'00_设计摘要'!$A$21:$A$29</c:f>
              <c:strCache>
                <c:ptCount val="0"/>
              </c:strCache>
            </c:strRef>
          </c:cat>
          <c:val>
            <c:numRef>
              <c:f>'00_设计摘要'!$B$21:$B$29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a1bec3987e44b8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8F4F6AB8-8E7E-4D70-8E7C-07A654D86682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16" dT="2026-08-23T17:37:55.74" personId="{8F4F6AB8-8E7E-4D70-8E7C-07A654D86682}" id="{97E3973A-ADCF-5D7F-136F-3B9BE2E0FF0B}">
    <xltc:text>来源：当前请求中的建议，不得在策划确认前写入正式结算。值由 9 场 × 每场最多约 2 金币推导。</xltc:text>
  </xltc:threadedComment>
</xltc:ThreadedComment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9bfe6a8b330241e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comments" Target="/xl/comments1.xml" Id="Re36b9526787f4744" /><Relationship Type="http://schemas.openxmlformats.org/officeDocument/2006/relationships/vmlDrawing" Target="/xl/drawings/vmldrawing.vml" Id="R436aae8c4ddf46fd" /><Relationship Type="http://schemas.microsoft.com/office/2017/10/relationships/threadedComment" Target="/xl/threadedcomments/threadedcomment.xml" Id="R290c034f27f64c95" /></Relationships>
</file>

<file path=xl/worksheets/sheet1.xml><?xml version="1.0" encoding="utf-8"?>
<x:worksheet xmlns:x="http://schemas.openxmlformats.org/spreadsheetml/2006/main">
  <x:sheetFormatPr defaultRowHeight="14"/>
  <x:cols>
    <x:col min="1" max="1" width="19.4140625" customWidth="1"/>
    <x:col min="2" max="2" width="29.08203125" customWidth="1"/>
    <x:col min="3" max="3" width="16.75" customWidth="1"/>
    <x:col min="4" max="4" width="17.1640625" customWidth="1"/>
  </x:cols>
  <x:sheetData>
    <x:row r="1" s="16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</x:row>
    <x:row r="2">
      <x:c r="A2" t="s">
        <x:v>4</x:v>
      </x:c>
      <x:c r="B2" t="s">
        <x:v>5</x:v>
      </x:c>
      <x:c r="C2" t="s">
        <x:v>6</x:v>
      </x:c>
      <x:c r="D2">
        <x:v>4</x:v>
      </x:c>
    </x:row>
    <x:row r="3">
      <x:c r="A3" t="s">
        <x:v>7</x:v>
      </x:c>
      <x:c r="B3" t="s">
        <x:v>8</x:v>
      </x:c>
      <x:c r="C3" t="s">
        <x:v>6</x:v>
      </x:c>
      <x:c r="D3">
        <x:v>3</x:v>
      </x:c>
    </x:row>
    <x:row r="4">
      <x:c r="A4" t="s">
        <x:v>9</x:v>
      </x:c>
      <x:c r="B4" t="s">
        <x:v>10</x:v>
      </x:c>
      <x:c r="C4" t="s">
        <x:v>6</x:v>
      </x:c>
      <x:c r="D4">
        <x:v>4</x:v>
      </x:c>
    </x:row>
    <x:row r="5">
      <x:c r="A5" t="s">
        <x:v>11</x:v>
      </x:c>
      <x:c r="B5" t="s">
        <x:v>12</x:v>
      </x:c>
      <x:c r="C5" t="s">
        <x:v>6</x:v>
      </x:c>
      <x:c r="D5">
        <x:v>8</x:v>
      </x:c>
    </x:row>
    <x:row r="6">
      <x:c r="A6" t="s">
        <x:v>13</x:v>
      </x:c>
      <x:c r="B6" t="s">
        <x:v>14</x:v>
      </x:c>
      <x:c r="C6" t="s">
        <x:v>6</x:v>
      </x:c>
      <x:c r="D6">
        <x:v>4</x:v>
      </x:c>
    </x:row>
    <x:row r="7">
      <x:c r="A7" t="s">
        <x:v>15</x:v>
      </x:c>
      <x:c r="B7" t="s">
        <x:v>16</x:v>
      </x:c>
      <x:c r="C7" t="s">
        <x:v>6</x:v>
      </x:c>
      <x:c r="D7">
        <x:v>3</x:v>
      </x:c>
    </x:row>
    <x:row r="8">
      <x:c r="A8" t="s">
        <x:v>17</x:v>
      </x:c>
      <x:c r="B8" t="s">
        <x:v>18</x:v>
      </x:c>
      <x:c r="C8" t="s">
        <x:v>6</x:v>
      </x:c>
      <x:c r="D8">
        <x:v>1</x:v>
      </x:c>
    </x:row>
    <x:row r="9">
      <x:c r="A9" t="s">
        <x:v>19</x:v>
      </x:c>
      <x:c r="B9" t="s">
        <x:v>20</x:v>
      </x:c>
      <x:c r="C9" t="s">
        <x:v>6</x:v>
      </x:c>
      <x:c r="D9">
        <x:v>99</x:v>
      </x:c>
    </x:row>
    <x:row r="10">
      <x:c r="A10" t="s">
        <x:v>21</x:v>
      </x:c>
      <x:c r="B10" t="s">
        <x:v>22</x:v>
      </x:c>
      <x:c r="C10" t="s">
        <x:v>6</x:v>
      </x:c>
      <x:c r="D10">
        <x:v>3</x:v>
      </x:c>
    </x:row>
    <x:row r="11">
      <x:c r="A11" t="s">
        <x:v>23</x:v>
      </x:c>
      <x:c r="B11" t="s">
        <x:v>24</x:v>
      </x:c>
      <x:c r="C11" t="s">
        <x:v>6</x:v>
      </x:c>
      <x:c r="D11">
        <x:v>1</x:v>
      </x:c>
    </x:row>
    <x:row r="12">
      <x:c r="A12" t="s">
        <x:v>25</x:v>
      </x:c>
      <x:c r="B12" t="s">
        <x:v>26</x:v>
      </x:c>
      <x:c r="C12" t="s">
        <x:v>27</x:v>
      </x:c>
      <x:c r="D12">
        <x:v>0.65</x:v>
      </x:c>
    </x:row>
    <x:row r="13">
      <x:c r="A13" t="s">
        <x:v>28</x:v>
      </x:c>
      <x:c r="B13" t="s">
        <x:v>29</x:v>
      </x:c>
      <x:c r="C13" t="s">
        <x:v>27</x:v>
      </x:c>
      <x:c r="D13">
        <x:v>0.35</x:v>
      </x:c>
    </x:row>
    <x:row r="14">
      <x:c r="A14" t="s">
        <x:v>30</x:v>
      </x:c>
      <x:c r="B14" t="s">
        <x:v>31</x:v>
      </x:c>
      <x:c r="C14" t="s">
        <x:v>27</x:v>
      </x:c>
      <x:c r="D14">
        <x:v>0.15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0.83203125" customWidth="1"/>
    <x:col min="2" max="2" width="10.5" customWidth="1"/>
    <x:col min="3" max="3" width="11.58203125" customWidth="1"/>
    <x:col min="4" max="4" width="19.08203125" customWidth="1"/>
    <x:col min="5" max="5" width="14.5" customWidth="1"/>
    <x:col min="6" max="6" width="12.9140625" customWidth="1"/>
    <x:col min="7" max="7" width="12.58203125" customWidth="1"/>
    <x:col min="8" max="8" width="10.83203125" customWidth="1"/>
    <x:col min="9" max="9" width="12" customWidth="1"/>
    <x:col min="10" max="10" width="17.4140625" customWidth="1"/>
    <x:col min="11" max="11" width="12.6640625" customWidth="1"/>
    <x:col min="12" max="12" width="15.33203125" customWidth="1"/>
    <x:col min="13" max="13" width="11.33203125" customWidth="1"/>
    <x:col min="14" max="14" width="11.25" customWidth="1"/>
  </x:cols>
  <x:sheetData>
    <x:row r="1" s="16" customFormat="1">
      <x:c r="A1" s="2" t="s">
        <x:v>32</x:v>
      </x:c>
      <x:c r="B1" s="2" t="s">
        <x:v>33</x:v>
      </x:c>
      <x:c r="C1" s="2" t="s">
        <x:v>34</x:v>
      </x:c>
      <x:c r="D1" s="2" t="s">
        <x:v>35</x:v>
      </x:c>
      <x:c r="E1" s="2" t="s">
        <x:v>36</x:v>
      </x:c>
      <x:c r="F1" s="2" t="s">
        <x:v>37</x:v>
      </x:c>
      <x:c r="G1" s="2" t="s">
        <x:v>38</x:v>
      </x:c>
      <x:c r="H1" s="2" t="s">
        <x:v>39</x:v>
      </x:c>
      <x:c r="I1" s="2" t="s">
        <x:v>40</x:v>
      </x:c>
      <x:c r="J1" s="2" t="s">
        <x:v>41</x:v>
      </x:c>
      <x:c r="K1" s="2" t="s">
        <x:v>42</x:v>
      </x:c>
      <x:c r="L1" s="2" t="s">
        <x:v>43</x:v>
      </x:c>
      <x:c r="M1" s="2" t="s">
        <x:v>44</x:v>
      </x:c>
      <x:c r="N1" s="2" t="s">
        <x:v>45</x:v>
      </x:c>
    </x:row>
    <x:row r="2">
      <x:c r="A2" t="s">
        <x:v>46</x:v>
      </x:c>
      <x:c r="B2" s="7" t="s">
        <x:v>47</x:v>
      </x:c>
      <x:c r="C2">
        <x:v>1</x:v>
      </x:c>
      <x:c r="D2" t="s">
        <x:v>48</x:v>
      </x:c>
      <x:c r="E2" t="s">
        <x:v>49</x:v>
      </x:c>
      <x:c r="F2">
        <x:v>550</x:v>
      </x:c>
      <x:c r="G2">
        <x:v>4</x:v>
      </x:c>
      <x:c r="H2">
        <x:v>3</x:v>
      </x:c>
      <x:c r="I2">
        <x:v>0</x:v>
      </x:c>
      <x:c r="J2">
        <x:v>0</x:v>
      </x:c>
      <x:c r="K2" t="s">
        <x:v>50</x:v>
      </x:c>
      <x:c r="L2">
        <x:v>5</x:v>
      </x:c>
    </x:row>
    <x:row r="3">
      <x:c r="A3" t="s">
        <x:v>51</x:v>
      </x:c>
      <x:c r="B3" s="7" t="s">
        <x:v>52</x:v>
      </x:c>
      <x:c r="C3">
        <x:v>2</x:v>
      </x:c>
      <x:c r="D3" t="s">
        <x:v>48</x:v>
      </x:c>
      <x:c r="E3" t="s">
        <x:v>49</x:v>
      </x:c>
      <x:c r="F3">
        <x:v>625</x:v>
      </x:c>
      <x:c r="G3">
        <x:v>4</x:v>
      </x:c>
      <x:c r="H3">
        <x:v>3</x:v>
      </x:c>
      <x:c r="I3">
        <x:v>0</x:v>
      </x:c>
      <x:c r="J3">
        <x:v>0</x:v>
      </x:c>
      <x:c r="K3" t="s">
        <x:v>50</x:v>
      </x:c>
      <x:c r="L3">
        <x:v>5</x:v>
      </x:c>
    </x:row>
    <x:row r="4">
      <x:c r="A4" t="s">
        <x:v>53</x:v>
      </x:c>
      <x:c r="B4" s="7" t="s">
        <x:v>54</x:v>
      </x:c>
      <x:c r="C4">
        <x:v>3</x:v>
      </x:c>
      <x:c r="D4" t="s">
        <x:v>48</x:v>
      </x:c>
      <x:c r="E4" t="s">
        <x:v>49</x:v>
      </x:c>
      <x:c r="F4">
        <x:v>675</x:v>
      </x:c>
      <x:c r="G4">
        <x:v>4</x:v>
      </x:c>
      <x:c r="H4">
        <x:v>3</x:v>
      </x:c>
      <x:c r="I4">
        <x:v>0</x:v>
      </x:c>
      <x:c r="J4">
        <x:v>0</x:v>
      </x:c>
      <x:c r="K4" t="s">
        <x:v>50</x:v>
      </x:c>
      <x:c r="L4">
        <x:v>8</x:v>
      </x:c>
    </x:row>
    <x:row r="5">
      <x:c r="A5" t="s">
        <x:v>55</x:v>
      </x:c>
      <x:c r="B5" s="7" t="s">
        <x:v>56</x:v>
      </x:c>
      <x:c r="C5">
        <x:v>4</x:v>
      </x:c>
      <x:c r="D5" t="s">
        <x:v>57</x:v>
      </x:c>
      <x:c r="E5" t="s">
        <x:v>58</x:v>
      </x:c>
      <x:c r="F5">
        <x:v>0</x:v>
      </x:c>
      <x:c r="G5">
        <x:v>0</x:v>
      </x:c>
      <x:c r="H5">
        <x:v>0</x:v>
      </x:c>
      <x:c r="I5">
        <x:v>1</x:v>
      </x:c>
      <x:c r="J5">
        <x:v>1</x:v>
      </x:c>
      <x:c r="K5" t="s">
        <x:v>58</x:v>
      </x:c>
      <x:c r="L5" t="s">
        <x:v>58</x:v>
      </x:c>
    </x:row>
    <x:row r="6">
      <x:c r="A6" t="s">
        <x:v>59</x:v>
      </x:c>
      <x:c r="B6" s="7" t="s">
        <x:v>60</x:v>
      </x:c>
      <x:c r="C6">
        <x:v>5</x:v>
      </x:c>
      <x:c r="D6" t="s">
        <x:v>48</x:v>
      </x:c>
      <x:c r="E6" t="s">
        <x:v>49</x:v>
      </x:c>
      <x:c r="F6">
        <x:v>775</x:v>
      </x:c>
      <x:c r="G6">
        <x:v>4</x:v>
      </x:c>
      <x:c r="H6">
        <x:v>3</x:v>
      </x:c>
      <x:c r="I6">
        <x:v>0</x:v>
      </x:c>
      <x:c r="J6">
        <x:v>0</x:v>
      </x:c>
      <x:c r="K6" t="s">
        <x:v>50</x:v>
      </x:c>
      <x:c r="L6">
        <x:v>5</x:v>
      </x:c>
    </x:row>
    <x:row r="7">
      <x:c r="A7" t="s">
        <x:v>61</x:v>
      </x:c>
      <x:c r="B7" s="7" t="s">
        <x:v>62</x:v>
      </x:c>
      <x:c r="C7">
        <x:v>6</x:v>
      </x:c>
      <x:c r="D7" t="s">
        <x:v>48</x:v>
      </x:c>
      <x:c r="E7" t="s">
        <x:v>49</x:v>
      </x:c>
      <x:c r="F7">
        <x:v>875</x:v>
      </x:c>
      <x:c r="G7">
        <x:v>4</x:v>
      </x:c>
      <x:c r="H7">
        <x:v>3</x:v>
      </x:c>
      <x:c r="I7">
        <x:v>0</x:v>
      </x:c>
      <x:c r="J7">
        <x:v>0</x:v>
      </x:c>
      <x:c r="K7" t="s">
        <x:v>50</x:v>
      </x:c>
      <x:c r="L7">
        <x:v>5</x:v>
      </x:c>
    </x:row>
    <x:row r="8">
      <x:c r="A8" t="s">
        <x:v>63</x:v>
      </x:c>
      <x:c r="B8" s="7" t="s">
        <x:v>64</x:v>
      </x:c>
      <x:c r="C8">
        <x:v>7</x:v>
      </x:c>
      <x:c r="D8" t="s">
        <x:v>48</x:v>
      </x:c>
      <x:c r="E8" t="s">
        <x:v>49</x:v>
      </x:c>
      <x:c r="F8">
        <x:v>975</x:v>
      </x:c>
      <x:c r="G8">
        <x:v>4</x:v>
      </x:c>
      <x:c r="H8">
        <x:v>3</x:v>
      </x:c>
      <x:c r="I8">
        <x:v>0</x:v>
      </x:c>
      <x:c r="J8">
        <x:v>0</x:v>
      </x:c>
      <x:c r="K8" t="s">
        <x:v>50</x:v>
      </x:c>
      <x:c r="L8">
        <x:v>8</x:v>
      </x:c>
    </x:row>
    <x:row r="9">
      <x:c r="A9" t="s">
        <x:v>65</x:v>
      </x:c>
      <x:c r="B9" s="7" t="s">
        <x:v>66</x:v>
      </x:c>
      <x:c r="C9">
        <x:v>8</x:v>
      </x:c>
      <x:c r="D9" t="s">
        <x:v>57</x:v>
      </x:c>
      <x:c r="E9" t="s">
        <x:v>58</x:v>
      </x:c>
      <x:c r="F9">
        <x:v>0</x:v>
      </x:c>
      <x:c r="G9">
        <x:v>0</x:v>
      </x:c>
      <x:c r="H9">
        <x:v>0</x:v>
      </x:c>
      <x:c r="I9">
        <x:v>1</x:v>
      </x:c>
      <x:c r="J9">
        <x:v>1</x:v>
      </x:c>
      <x:c r="K9" t="s">
        <x:v>58</x:v>
      </x:c>
      <x:c r="L9" t="s">
        <x:v>58</x:v>
      </x:c>
    </x:row>
    <x:row r="10">
      <x:c r="A10" t="s">
        <x:v>67</x:v>
      </x:c>
      <x:c r="B10" s="7" t="s">
        <x:v>68</x:v>
      </x:c>
      <x:c r="C10">
        <x:v>9</x:v>
      </x:c>
      <x:c r="D10" t="s">
        <x:v>48</x:v>
      </x:c>
      <x:c r="E10" t="s">
        <x:v>49</x:v>
      </x:c>
      <x:c r="F10">
        <x:v>1050</x:v>
      </x:c>
      <x:c r="G10">
        <x:v>4</x:v>
      </x:c>
      <x:c r="H10">
        <x:v>3</x:v>
      </x:c>
      <x:c r="I10">
        <x:v>0</x:v>
      </x:c>
      <x:c r="J10">
        <x:v>0</x:v>
      </x:c>
      <x:c r="K10" t="s">
        <x:v>50</x:v>
      </x:c>
      <x:c r="L10">
        <x:v>5</x:v>
      </x:c>
    </x:row>
    <x:row r="11">
      <x:c r="A11" t="s">
        <x:v>69</x:v>
      </x:c>
      <x:c r="B11" s="7" t="s">
        <x:v>70</x:v>
      </x:c>
      <x:c r="C11">
        <x:v>10</x:v>
      </x:c>
      <x:c r="D11" t="s">
        <x:v>48</x:v>
      </x:c>
      <x:c r="E11" t="s">
        <x:v>49</x:v>
      </x:c>
      <x:c r="F11">
        <x:v>1275</x:v>
      </x:c>
      <x:c r="G11">
        <x:v>4</x:v>
      </x:c>
      <x:c r="H11">
        <x:v>3</x:v>
      </x:c>
      <x:c r="I11">
        <x:v>0</x:v>
      </x:c>
      <x:c r="J11">
        <x:v>0</x:v>
      </x:c>
      <x:c r="K11" t="s">
        <x:v>50</x:v>
      </x:c>
      <x:c r="L11">
        <x:v>5</x:v>
      </x:c>
    </x:row>
    <x:row r="12">
      <x:c r="A12" t="s">
        <x:v>71</x:v>
      </x:c>
      <x:c r="B12" s="7" t="s">
        <x:v>72</x:v>
      </x:c>
      <x:c r="C12">
        <x:v>11</x:v>
      </x:c>
      <x:c r="D12" t="s">
        <x:v>48</x:v>
      </x:c>
      <x:c r="E12" t="s">
        <x:v>49</x:v>
      </x:c>
      <x:c r="F12">
        <x:v>1475</x:v>
      </x:c>
      <x:c r="G12">
        <x:v>4</x:v>
      </x:c>
      <x:c r="H12">
        <x:v>3</x:v>
      </x:c>
      <x:c r="I12">
        <x:v>0</x:v>
      </x:c>
      <x:c r="J12">
        <x:v>0</x:v>
      </x:c>
      <x:c r="K12" t="s">
        <x:v>50</x:v>
      </x:c>
      <x:c r="L12">
        <x:v>8</x:v>
      </x:c>
    </x:row>
    <x:row r="13">
      <x:c r="A13" t="s">
        <x:v>73</x:v>
      </x:c>
      <x:c r="B13" s="7" t="s">
        <x:v>74</x:v>
      </x:c>
      <x:c r="C13">
        <x:v>12</x:v>
      </x:c>
      <x:c r="D13" t="s">
        <x:v>57</x:v>
      </x:c>
      <x:c r="E13" t="s">
        <x:v>58</x:v>
      </x:c>
      <x:c r="F13">
        <x:v>0</x:v>
      </x:c>
      <x:c r="G13">
        <x:v>0</x:v>
      </x:c>
      <x:c r="H13">
        <x:v>0</x:v>
      </x:c>
      <x:c r="I13">
        <x:v>1</x:v>
      </x:c>
      <x:c r="J13">
        <x:v>1</x:v>
      </x:c>
      <x:c r="K13" t="s">
        <x:v>58</x:v>
      </x:c>
      <x:c r="L13">
        <x:v>0</x:v>
      </x:c>
    </x:row>
    <x:row r="14">
      <x:c r="A14" t="s">
        <x:v>75</x:v>
      </x:c>
      <x:c r="B14" s="7" t="s">
        <x:v>76</x:v>
      </x:c>
      <x:c r="C14">
        <x:v>13</x:v>
      </x:c>
      <x:c r="D14" t="s">
        <x:v>48</x:v>
      </x:c>
      <x:c r="E14" t="s">
        <x:v>49</x:v>
      </x:c>
      <x:c r="F14">
        <x:v>1900</x:v>
      </x:c>
      <x:c r="G14">
        <x:v>4</x:v>
      </x:c>
      <x:c r="H14">
        <x:v>3</x:v>
      </x:c>
      <x:c r="I14">
        <x:v>0</x:v>
      </x:c>
      <x:c r="J14">
        <x:v>0</x:v>
      </x:c>
      <x:c r="K14" t="s">
        <x:v>58</x:v>
      </x:c>
      <x:c r="L14" t="s">
        <x:v>58</x:v>
      </x:c>
    </x:row>
    <x:row r="15">
      <x:c r="B15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8" customWidth="1"/>
    <x:col min="2" max="2" width="13.4140625" customWidth="1"/>
    <x:col min="3" max="4" width="14.75" customWidth="1"/>
    <x:col min="5" max="5" width="13.6640625" customWidth="1"/>
    <x:col min="6" max="6" width="13.9140625" customWidth="1"/>
    <x:col min="7" max="7" width="12.83203125" customWidth="1"/>
    <x:col min="8" max="8" width="17.75" customWidth="1"/>
  </x:cols>
  <x:sheetData>
    <x:row r="1" s="16" customFormat="1">
      <x:c r="A1" s="2" t="s">
        <x:v>77</x:v>
      </x:c>
      <x:c r="B1" s="2" t="s">
        <x:v>78</x:v>
      </x:c>
      <x:c r="C1" s="2" t="s">
        <x:v>79</x:v>
      </x:c>
      <x:c r="D1" s="2" t="s">
        <x:v>80</x:v>
      </x:c>
      <x:c r="E1" s="2" t="s">
        <x:v>81</x:v>
      </x:c>
      <x:c r="F1" s="2" t="s">
        <x:v>82</x:v>
      </x:c>
      <x:c r="G1" s="2" t="s">
        <x:v>83</x:v>
      </x:c>
      <x:c r="H1" s="2"/>
    </x:row>
    <x:row r="2">
      <x:c r="A2" t="s">
        <x:v>84</x:v>
      </x:c>
      <x:c r="B2" s="7" t="s">
        <x:v>85</x:v>
      </x:c>
      <x:c r="C2">
        <x:v>1</x:v>
      </x:c>
      <x:c r="D2" t="s">
        <x:v>86</x:v>
      </x:c>
      <x:c r="E2">
        <x:v>55</x:v>
      </x:c>
      <x:c r="F2">
        <x:v>1</x:v>
      </x:c>
      <x:c r="G2">
        <x:v>1</x:v>
      </x:c>
      <x:c r="H2" s="1"/>
    </x:row>
    <x:row r="3">
      <x:c r="A3" t="s">
        <x:v>87</x:v>
      </x:c>
      <x:c r="B3" s="7" t="s">
        <x:v>88</x:v>
      </x:c>
      <x:c r="C3">
        <x:v>2</x:v>
      </x:c>
      <x:c r="D3" t="s">
        <x:v>86</x:v>
      </x:c>
      <x:c r="E3">
        <x:v>48</x:v>
      </x:c>
      <x:c r="F3">
        <x:v>2</x:v>
      </x:c>
      <x:c r="G3">
        <x:v>2</x:v>
      </x:c>
      <x:c r="H3" s="1"/>
    </x:row>
    <x:row r="4">
      <x:c r="A4" t="s">
        <x:v>89</x:v>
      </x:c>
      <x:c r="B4" s="7" t="s">
        <x:v>90</x:v>
      </x:c>
      <x:c r="C4">
        <x:v>4</x:v>
      </x:c>
      <x:c r="D4" t="s">
        <x:v>86</x:v>
      </x:c>
      <x:c r="E4">
        <x:v>52</x:v>
      </x:c>
      <x:c r="F4">
        <x:v>2.5</x:v>
      </x:c>
      <x:c r="G4">
        <x:v>3</x:v>
      </x:c>
      <x:c r="H4" s="1"/>
    </x:row>
    <x:row r="5">
      <x:c r="A5" t="s">
        <x:v>91</x:v>
      </x:c>
      <x:c r="B5" s="7" t="s">
        <x:v>92</x:v>
      </x:c>
      <x:c r="C5">
        <x:v>3</x:v>
      </x:c>
      <x:c r="D5" t="s">
        <x:v>86</x:v>
      </x:c>
      <x:c r="E5">
        <x:v>57</x:v>
      </x:c>
      <x:c r="F5">
        <x:v>3</x:v>
      </x:c>
      <x:c r="G5">
        <x:v>4</x:v>
      </x:c>
      <x:c r="H5" s="1"/>
    </x:row>
    <x:row r="6">
      <x:c r="A6" t="s">
        <x:v>93</x:v>
      </x:c>
      <x:c r="B6" s="7" t="s">
        <x:v>94</x:v>
      </x:c>
      <x:c r="C6">
        <x:v>5</x:v>
      </x:c>
      <x:c r="D6" t="s">
        <x:v>86</x:v>
      </x:c>
      <x:c r="E6">
        <x:v>60</x:v>
      </x:c>
      <x:c r="F6">
        <x:v>4</x:v>
      </x:c>
      <x:c r="G6">
        <x:v>5</x:v>
      </x:c>
      <x:c r="H6" s="1"/>
    </x:row>
    <x:row r="7">
      <x:c r="A7" t="s">
        <x:v>95</x:v>
      </x:c>
      <x:c r="B7" s="7" t="s">
        <x:v>96</x:v>
      </x:c>
      <x:c r="C7">
        <x:v>5</x:v>
      </x:c>
      <x:c r="D7" t="s">
        <x:v>97</x:v>
      </x:c>
      <x:c r="E7">
        <x:v>65</x:v>
      </x:c>
      <x:c r="F7">
        <x:v>4</x:v>
      </x:c>
      <x:c r="G7">
        <x:v>6</x:v>
      </x:c>
      <x:c r="H7" s="1"/>
    </x:row>
    <x:row r="8">
      <x:c r="A8" t="s">
        <x:v>98</x:v>
      </x:c>
      <x:c r="B8" s="7" t="s">
        <x:v>99</x:v>
      </x:c>
      <x:c r="C8">
        <x:v>5</x:v>
      </x:c>
      <x:c r="D8" t="s">
        <x:v>97</x:v>
      </x:c>
      <x:c r="E8">
        <x:v>74</x:v>
      </x:c>
      <x:c r="F8">
        <x:v>5</x:v>
      </x:c>
      <x:c r="G8">
        <x:v>7</x:v>
      </x:c>
      <x:c r="H8" s="1"/>
    </x:row>
    <x:row r="9">
      <x:c r="A9" t="s">
        <x:v>100</x:v>
      </x:c>
      <x:c r="B9" s="7" t="s">
        <x:v>101</x:v>
      </x:c>
      <x:c r="C9">
        <x:v>4</x:v>
      </x:c>
      <x:c r="D9" t="s">
        <x:v>97</x:v>
      </x:c>
      <x:c r="E9">
        <x:v>100</x:v>
      </x:c>
      <x:c r="F9">
        <x:v>6</x:v>
      </x:c>
      <x:c r="G9">
        <x:v>8</x:v>
      </x:c>
      <x:c r="H9" s="1"/>
    </x:row>
    <x:row r="10">
      <x:c r="A10" t="s">
        <x:v>102</x:v>
      </x:c>
      <x:c r="B10" s="7" t="s">
        <x:v>103</x:v>
      </x:c>
      <x:c r="C10">
        <x:v>5</x:v>
      </x:c>
      <x:c r="D10" t="s">
        <x:v>97</x:v>
      </x:c>
      <x:c r="E10">
        <x:v>95</x:v>
      </x:c>
      <x:c r="F10">
        <x:v>10</x:v>
      </x:c>
      <x:c r="G10">
        <x:v>9</x:v>
      </x:c>
      <x:c r="H10" s="1"/>
    </x:row>
    <x:row r="11">
      <x:c r="A11" t="s">
        <x:v>104</x:v>
      </x:c>
      <x:c r="B11" s="7" t="s">
        <x:v>105</x:v>
      </x:c>
      <x:c r="C11">
        <x:v>5</x:v>
      </x:c>
      <x:c r="D11" t="s">
        <x:v>97</x:v>
      </x:c>
      <x:c r="E11">
        <x:v>70</x:v>
      </x:c>
      <x:c r="F11">
        <x:v>12</x:v>
      </x:c>
      <x:c r="G11">
        <x:v>10</x:v>
      </x:c>
      <x:c r="H11" s="1"/>
    </x:row>
    <x:row r="12">
      <x:c r="A12" t="s">
        <x:v>106</x:v>
      </x:c>
      <x:c r="B12" s="7" t="s">
        <x:v>107</x:v>
      </x:c>
      <x:c r="C12">
        <x:v>4</x:v>
      </x:c>
      <x:c r="D12" t="s">
        <x:v>97</x:v>
      </x:c>
      <x:c r="E12">
        <x:v>100</x:v>
      </x:c>
      <x:c r="F12">
        <x:v>12</x:v>
      </x:c>
      <x:c r="G12">
        <x:v>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19" customWidth="1"/>
    <x:col min="2" max="2" width="16.1640625" customWidth="1"/>
    <x:col min="3" max="3" width="19.4140625" customWidth="1"/>
    <x:col min="4" max="4" width="17.1640625" customWidth="1"/>
    <x:col min="5" max="6" width="17.83203125" customWidth="1"/>
    <x:col min="7" max="7" width="16.9140625" customWidth="1"/>
  </x:cols>
  <x:sheetData>
    <x:row r="1" s="16" customFormat="1">
      <x:c r="A1" s="9" t="s">
        <x:v>108</x:v>
      </x:c>
      <x:c r="B1" s="9" t="s">
        <x:v>109</x:v>
      </x:c>
      <x:c r="C1" s="9" t="s">
        <x:v>110</x:v>
      </x:c>
      <x:c r="D1" s="9" t="s">
        <x:v>111</x:v>
      </x:c>
      <x:c r="E1" s="9" t="s">
        <x:v>112</x:v>
      </x:c>
      <x:c r="F1" s="9" t="s">
        <x:v>113</x:v>
      </x:c>
      <x:c r="G1" s="9" t="s">
        <x:v>114</x:v>
      </x:c>
    </x:row>
    <x:row r="2">
      <x:c r="A2" s="6" t="s">
        <x:v>115</x:v>
      </x:c>
      <x:c r="B2" s="6" t="s">
        <x:v>116</x:v>
      </x:c>
      <x:c r="C2" s="6" t="s">
        <x:v>117</x:v>
      </x:c>
      <x:c r="D2" s="6" t="s">
        <x:v>118</x:v>
      </x:c>
      <x:c r="E2" s="8" t="s">
        <x:v>119</x:v>
      </x:c>
      <x:c r="F2" s="8" t="s">
        <x:v>120</x:v>
      </x:c>
      <x:c r="G2" s="4">
        <x:v>11</x:v>
      </x:c>
    </x:row>
    <x:row r="3">
      <x:c r="A3" s="6" t="s">
        <x:v>121</x:v>
      </x:c>
      <x:c r="B3" s="6" t="s">
        <x:v>122</x:v>
      </x:c>
      <x:c r="C3" s="6" t="s">
        <x:v>117</x:v>
      </x:c>
      <x:c r="D3" s="6" t="s">
        <x:v>118</x:v>
      </x:c>
      <x:c r="E3" s="8">
        <x:v>2</x:v>
      </x:c>
      <x:c r="F3" s="8" t="s">
        <x:v>120</x:v>
      </x:c>
      <x:c r="G3" s="4">
        <x:v>2</x:v>
      </x:c>
    </x:row>
    <x:row r="4">
      <x:c r="A4" s="6" t="s">
        <x:v>123</x:v>
      </x:c>
      <x:c r="B4" s="6" t="s">
        <x:v>124</x:v>
      </x:c>
      <x:c r="C4" s="6" t="s">
        <x:v>117</x:v>
      </x:c>
      <x:c r="D4" s="6" t="s">
        <x:v>118</x:v>
      </x:c>
      <x:c r="E4" s="8">
        <x:v>3</x:v>
      </x:c>
      <x:c r="F4" s="8" t="s">
        <x:v>120</x:v>
      </x:c>
      <x:c r="G4" s="4">
        <x:v>3</x:v>
      </x:c>
    </x:row>
    <x:row r="5">
      <x:c r="A5" s="6" t="s">
        <x:v>125</x:v>
      </x:c>
      <x:c r="B5" s="6" t="s">
        <x:v>126</x:v>
      </x:c>
      <x:c r="C5" s="6" t="s">
        <x:v>117</x:v>
      </x:c>
      <x:c r="D5" s="6" t="s">
        <x:v>118</x:v>
      </x:c>
      <x:c r="E5" s="8">
        <x:v>4</x:v>
      </x:c>
      <x:c r="F5" s="8" t="s">
        <x:v>120</x:v>
      </x:c>
      <x:c r="G5" s="4">
        <x:v>4</x:v>
      </x:c>
    </x:row>
    <x:row r="6">
      <x:c r="A6" s="6" t="s">
        <x:v>127</x:v>
      </x:c>
      <x:c r="B6" s="6" t="s">
        <x:v>128</x:v>
      </x:c>
      <x:c r="C6" s="6" t="s">
        <x:v>117</x:v>
      </x:c>
      <x:c r="D6" s="6" t="s">
        <x:v>118</x:v>
      </x:c>
      <x:c r="E6" s="8">
        <x:v>5</x:v>
      </x:c>
      <x:c r="F6" s="8" t="s">
        <x:v>120</x:v>
      </x:c>
      <x:c r="G6" s="4">
        <x:v>5</x:v>
      </x:c>
    </x:row>
    <x:row r="7">
      <x:c r="A7" s="6" t="s">
        <x:v>129</x:v>
      </x:c>
      <x:c r="B7" s="6" t="s">
        <x:v>130</x:v>
      </x:c>
      <x:c r="C7" s="6" t="s">
        <x:v>117</x:v>
      </x:c>
      <x:c r="D7" s="6" t="s">
        <x:v>118</x:v>
      </x:c>
      <x:c r="E7" s="8">
        <x:v>6</x:v>
      </x:c>
      <x:c r="F7" s="8" t="s">
        <x:v>120</x:v>
      </x:c>
      <x:c r="G7" s="4">
        <x:v>6</x:v>
      </x:c>
    </x:row>
    <x:row r="8">
      <x:c r="A8" s="6" t="s">
        <x:v>131</x:v>
      </x:c>
      <x:c r="B8" s="6" t="s">
        <x:v>132</x:v>
      </x:c>
      <x:c r="C8" s="6" t="s">
        <x:v>117</x:v>
      </x:c>
      <x:c r="D8" s="6" t="s">
        <x:v>118</x:v>
      </x:c>
      <x:c r="E8" s="8">
        <x:v>7</x:v>
      </x:c>
      <x:c r="F8" s="8" t="s">
        <x:v>120</x:v>
      </x:c>
      <x:c r="G8" s="4">
        <x:v>7</x:v>
      </x:c>
    </x:row>
    <x:row r="9">
      <x:c r="A9" s="6" t="s">
        <x:v>133</x:v>
      </x:c>
      <x:c r="B9" s="6" t="s">
        <x:v>134</x:v>
      </x:c>
      <x:c r="C9" s="6" t="s">
        <x:v>117</x:v>
      </x:c>
      <x:c r="D9" s="6" t="s">
        <x:v>118</x:v>
      </x:c>
      <x:c r="E9" s="8">
        <x:v>8</x:v>
      </x:c>
      <x:c r="F9" s="8" t="s">
        <x:v>120</x:v>
      </x:c>
      <x:c r="G9" s="4">
        <x:v>8</x:v>
      </x:c>
    </x:row>
    <x:row r="10">
      <x:c r="A10" s="6" t="s">
        <x:v>135</x:v>
      </x:c>
      <x:c r="B10" s="6" t="s">
        <x:v>136</x:v>
      </x:c>
      <x:c r="C10" s="6" t="s">
        <x:v>117</x:v>
      </x:c>
      <x:c r="D10" s="6" t="s">
        <x:v>118</x:v>
      </x:c>
      <x:c r="E10" s="8">
        <x:v>9</x:v>
      </x:c>
      <x:c r="F10" s="8" t="s">
        <x:v>120</x:v>
      </x:c>
      <x:c r="G10" s="4">
        <x:v>9</x:v>
      </x:c>
    </x:row>
    <x:row r="11">
      <x:c r="A11" s="6" t="s">
        <x:v>137</x:v>
      </x:c>
      <x:c r="B11" s="6" t="s">
        <x:v>138</x:v>
      </x:c>
      <x:c r="C11" s="6" t="s">
        <x:v>117</x:v>
      </x:c>
      <x:c r="D11" s="6" t="s">
        <x:v>118</x:v>
      </x:c>
      <x:c r="E11" s="8">
        <x:v>10</x:v>
      </x:c>
      <x:c r="F11" s="8" t="s">
        <x:v>120</x:v>
      </x:c>
      <x:c r="G11" s="4">
        <x:v>10</x:v>
      </x:c>
    </x:row>
    <x:row r="12">
      <x:c r="A12" s="6" t="s">
        <x:v>139</x:v>
      </x:c>
      <x:c r="B12" s="6" t="s">
        <x:v>140</x:v>
      </x:c>
      <x:c r="C12" s="6" t="s">
        <x:v>117</x:v>
      </x:c>
      <x:c r="D12" s="6" t="s">
        <x:v>118</x:v>
      </x:c>
      <x:c r="E12" s="8" t="s">
        <x:v>141</x:v>
      </x:c>
      <x:c r="F12" s="8" t="s">
        <x:v>120</x:v>
      </x:c>
      <x:c r="G12" s="4">
        <x:v>10</x:v>
      </x:c>
    </x:row>
    <x:row r="13">
      <x:c r="A13" s="6" t="s">
        <x:v>142</x:v>
      </x:c>
      <x:c r="B13" s="6" t="s">
        <x:v>143</x:v>
      </x:c>
      <x:c r="C13" s="6" t="s">
        <x:v>117</x:v>
      </x:c>
      <x:c r="D13" s="6" t="s">
        <x:v>118</x:v>
      </x:c>
      <x:c r="E13" s="8" t="s">
        <x:v>144</x:v>
      </x:c>
      <x:c r="F13" s="8" t="s">
        <x:v>120</x:v>
      </x:c>
      <x:c r="G13" s="4">
        <x:v>10</x:v>
      </x:c>
    </x:row>
    <x:row r="14">
      <x:c r="A14" s="6" t="s">
        <x:v>145</x:v>
      </x:c>
      <x:c r="B14" s="6" t="s">
        <x:v>146</x:v>
      </x:c>
      <x:c r="C14" s="6" t="s">
        <x:v>117</x:v>
      </x:c>
      <x:c r="D14" s="6" t="s">
        <x:v>118</x:v>
      </x:c>
      <x:c r="E14" s="8" t="s">
        <x:v>147</x:v>
      </x:c>
      <x:c r="F14" s="8" t="s">
        <x:v>120</x:v>
      </x:c>
      <x:c r="G14" s="4">
        <x:v>10</x:v>
      </x:c>
    </x:row>
    <x:row r="15">
      <x:c r="A15" s="6" t="s">
        <x:v>148</x:v>
      </x:c>
      <x:c r="B15" s="6" t="s">
        <x:v>149</x:v>
      </x:c>
      <x:c r="C15" s="6" t="s">
        <x:v>117</x:v>
      </x:c>
      <x:c r="D15" s="6" t="s">
        <x:v>150</x:v>
      </x:c>
      <x:c r="E15" s="8" t="s">
        <x:v>119</x:v>
      </x:c>
      <x:c r="F15" s="8" t="s">
        <x:v>120</x:v>
      </x:c>
      <x:c r="G15" s="4">
        <x:v>11</x:v>
      </x:c>
    </x:row>
    <x:row r="16">
      <x:c r="A16" s="6" t="s">
        <x:v>151</x:v>
      </x:c>
      <x:c r="B16" s="6" t="s">
        <x:v>152</x:v>
      </x:c>
      <x:c r="C16" s="6" t="s">
        <x:v>117</x:v>
      </x:c>
      <x:c r="D16" s="6" t="s">
        <x:v>150</x:v>
      </x:c>
      <x:c r="E16" s="8">
        <x:v>2</x:v>
      </x:c>
      <x:c r="F16" s="8" t="s">
        <x:v>120</x:v>
      </x:c>
      <x:c r="G16" s="4">
        <x:v>2</x:v>
      </x:c>
    </x:row>
    <x:row r="17">
      <x:c r="A17" s="6" t="s">
        <x:v>153</x:v>
      </x:c>
      <x:c r="B17" s="6" t="s">
        <x:v>154</x:v>
      </x:c>
      <x:c r="C17" s="6" t="s">
        <x:v>117</x:v>
      </x:c>
      <x:c r="D17" s="6" t="s">
        <x:v>150</x:v>
      </x:c>
      <x:c r="E17" s="8">
        <x:v>3</x:v>
      </x:c>
      <x:c r="F17" s="8" t="s">
        <x:v>120</x:v>
      </x:c>
      <x:c r="G17" s="4">
        <x:v>3</x:v>
      </x:c>
    </x:row>
    <x:row r="18">
      <x:c r="A18" s="6" t="s">
        <x:v>155</x:v>
      </x:c>
      <x:c r="B18" s="6" t="s">
        <x:v>156</x:v>
      </x:c>
      <x:c r="C18" s="6" t="s">
        <x:v>117</x:v>
      </x:c>
      <x:c r="D18" s="6" t="s">
        <x:v>150</x:v>
      </x:c>
      <x:c r="E18" s="8">
        <x:v>4</x:v>
      </x:c>
      <x:c r="F18" s="8" t="s">
        <x:v>120</x:v>
      </x:c>
      <x:c r="G18" s="4">
        <x:v>4</x:v>
      </x:c>
    </x:row>
    <x:row r="19">
      <x:c r="A19" s="6" t="s">
        <x:v>157</x:v>
      </x:c>
      <x:c r="B19" s="6" t="s">
        <x:v>158</x:v>
      </x:c>
      <x:c r="C19" s="6" t="s">
        <x:v>117</x:v>
      </x:c>
      <x:c r="D19" s="6" t="s">
        <x:v>150</x:v>
      </x:c>
      <x:c r="E19" s="8">
        <x:v>5</x:v>
      </x:c>
      <x:c r="F19" s="8" t="s">
        <x:v>120</x:v>
      </x:c>
      <x:c r="G19" s="4">
        <x:v>5</x:v>
      </x:c>
    </x:row>
    <x:row r="20">
      <x:c r="A20" s="6" t="s">
        <x:v>159</x:v>
      </x:c>
      <x:c r="B20" s="6" t="s">
        <x:v>160</x:v>
      </x:c>
      <x:c r="C20" s="6" t="s">
        <x:v>117</x:v>
      </x:c>
      <x:c r="D20" s="6" t="s">
        <x:v>150</x:v>
      </x:c>
      <x:c r="E20" s="8">
        <x:v>6</x:v>
      </x:c>
      <x:c r="F20" s="8" t="s">
        <x:v>120</x:v>
      </x:c>
      <x:c r="G20" s="4">
        <x:v>6</x:v>
      </x:c>
    </x:row>
    <x:row r="21">
      <x:c r="A21" s="6" t="s">
        <x:v>161</x:v>
      </x:c>
      <x:c r="B21" s="6" t="s">
        <x:v>162</x:v>
      </x:c>
      <x:c r="C21" s="6" t="s">
        <x:v>117</x:v>
      </x:c>
      <x:c r="D21" s="6" t="s">
        <x:v>150</x:v>
      </x:c>
      <x:c r="E21" s="8">
        <x:v>7</x:v>
      </x:c>
      <x:c r="F21" s="8" t="s">
        <x:v>120</x:v>
      </x:c>
      <x:c r="G21" s="4">
        <x:v>7</x:v>
      </x:c>
    </x:row>
    <x:row r="22">
      <x:c r="A22" s="6" t="s">
        <x:v>163</x:v>
      </x:c>
      <x:c r="B22" s="6" t="s">
        <x:v>164</x:v>
      </x:c>
      <x:c r="C22" s="6" t="s">
        <x:v>117</x:v>
      </x:c>
      <x:c r="D22" s="6" t="s">
        <x:v>150</x:v>
      </x:c>
      <x:c r="E22" s="8">
        <x:v>8</x:v>
      </x:c>
      <x:c r="F22" s="8" t="s">
        <x:v>120</x:v>
      </x:c>
      <x:c r="G22" s="4">
        <x:v>8</x:v>
      </x:c>
    </x:row>
    <x:row r="23">
      <x:c r="A23" s="6" t="s">
        <x:v>165</x:v>
      </x:c>
      <x:c r="B23" s="6" t="s">
        <x:v>166</x:v>
      </x:c>
      <x:c r="C23" s="6" t="s">
        <x:v>117</x:v>
      </x:c>
      <x:c r="D23" s="6" t="s">
        <x:v>150</x:v>
      </x:c>
      <x:c r="E23" s="8">
        <x:v>9</x:v>
      </x:c>
      <x:c r="F23" s="8" t="s">
        <x:v>120</x:v>
      </x:c>
      <x:c r="G23" s="4">
        <x:v>9</x:v>
      </x:c>
    </x:row>
    <x:row r="24">
      <x:c r="A24" s="6" t="s">
        <x:v>167</x:v>
      </x:c>
      <x:c r="B24" s="6" t="s">
        <x:v>168</x:v>
      </x:c>
      <x:c r="C24" s="6" t="s">
        <x:v>117</x:v>
      </x:c>
      <x:c r="D24" s="6" t="s">
        <x:v>150</x:v>
      </x:c>
      <x:c r="E24" s="8">
        <x:v>10</x:v>
      </x:c>
      <x:c r="F24" s="8" t="s">
        <x:v>120</x:v>
      </x:c>
      <x:c r="G24" s="4">
        <x:v>10</x:v>
      </x:c>
    </x:row>
    <x:row r="25">
      <x:c r="A25" s="6" t="s">
        <x:v>169</x:v>
      </x:c>
      <x:c r="B25" s="6" t="s">
        <x:v>170</x:v>
      </x:c>
      <x:c r="C25" s="6" t="s">
        <x:v>117</x:v>
      </x:c>
      <x:c r="D25" s="6" t="s">
        <x:v>150</x:v>
      </x:c>
      <x:c r="E25" s="8" t="s">
        <x:v>141</x:v>
      </x:c>
      <x:c r="F25" s="8" t="s">
        <x:v>120</x:v>
      </x:c>
      <x:c r="G25" s="4">
        <x:v>10</x:v>
      </x:c>
    </x:row>
    <x:row r="26">
      <x:c r="A26" s="6" t="s">
        <x:v>171</x:v>
      </x:c>
      <x:c r="B26" s="6" t="s">
        <x:v>172</x:v>
      </x:c>
      <x:c r="C26" s="6" t="s">
        <x:v>117</x:v>
      </x:c>
      <x:c r="D26" s="6" t="s">
        <x:v>150</x:v>
      </x:c>
      <x:c r="E26" s="8" t="s">
        <x:v>144</x:v>
      </x:c>
      <x:c r="F26" s="8" t="s">
        <x:v>120</x:v>
      </x:c>
      <x:c r="G26" s="4">
        <x:v>10</x:v>
      </x:c>
    </x:row>
    <x:row r="27">
      <x:c r="A27" s="6" t="s">
        <x:v>173</x:v>
      </x:c>
      <x:c r="B27" s="6" t="s">
        <x:v>174</x:v>
      </x:c>
      <x:c r="C27" s="6" t="s">
        <x:v>117</x:v>
      </x:c>
      <x:c r="D27" s="6" t="s">
        <x:v>150</x:v>
      </x:c>
      <x:c r="E27" s="8" t="s">
        <x:v>147</x:v>
      </x:c>
      <x:c r="F27" s="8" t="s">
        <x:v>120</x:v>
      </x:c>
      <x:c r="G27" s="4">
        <x:v>10</x:v>
      </x:c>
    </x:row>
    <x:row r="28">
      <x:c r="A28" s="6" t="s">
        <x:v>175</x:v>
      </x:c>
      <x:c r="B28" s="6" t="s">
        <x:v>176</x:v>
      </x:c>
      <x:c r="C28" s="6" t="s">
        <x:v>117</x:v>
      </x:c>
      <x:c r="D28" s="6" t="s">
        <x:v>177</x:v>
      </x:c>
      <x:c r="E28" s="8" t="s">
        <x:v>119</x:v>
      </x:c>
      <x:c r="F28" s="8" t="s">
        <x:v>120</x:v>
      </x:c>
      <x:c r="G28" s="4">
        <x:v>11</x:v>
      </x:c>
    </x:row>
    <x:row r="29">
      <x:c r="A29" s="6" t="s">
        <x:v>178</x:v>
      </x:c>
      <x:c r="B29" s="6" t="s">
        <x:v>179</x:v>
      </x:c>
      <x:c r="C29" s="6" t="s">
        <x:v>117</x:v>
      </x:c>
      <x:c r="D29" s="6" t="s">
        <x:v>177</x:v>
      </x:c>
      <x:c r="E29" s="8">
        <x:v>2</x:v>
      </x:c>
      <x:c r="F29" s="8" t="s">
        <x:v>120</x:v>
      </x:c>
      <x:c r="G29" s="4">
        <x:v>2</x:v>
      </x:c>
    </x:row>
    <x:row r="30">
      <x:c r="A30" s="6" t="s">
        <x:v>180</x:v>
      </x:c>
      <x:c r="B30" s="6" t="s">
        <x:v>181</x:v>
      </x:c>
      <x:c r="C30" s="6" t="s">
        <x:v>117</x:v>
      </x:c>
      <x:c r="D30" s="6" t="s">
        <x:v>177</x:v>
      </x:c>
      <x:c r="E30" s="8">
        <x:v>3</x:v>
      </x:c>
      <x:c r="F30" s="8" t="s">
        <x:v>120</x:v>
      </x:c>
      <x:c r="G30" s="4">
        <x:v>3</x:v>
      </x:c>
    </x:row>
    <x:row r="31">
      <x:c r="A31" s="6" t="s">
        <x:v>182</x:v>
      </x:c>
      <x:c r="B31" s="6" t="s">
        <x:v>183</x:v>
      </x:c>
      <x:c r="C31" s="6" t="s">
        <x:v>117</x:v>
      </x:c>
      <x:c r="D31" s="6" t="s">
        <x:v>177</x:v>
      </x:c>
      <x:c r="E31" s="8">
        <x:v>4</x:v>
      </x:c>
      <x:c r="F31" s="8" t="s">
        <x:v>120</x:v>
      </x:c>
      <x:c r="G31" s="4">
        <x:v>4</x:v>
      </x:c>
    </x:row>
    <x:row r="32">
      <x:c r="A32" s="6" t="s">
        <x:v>184</x:v>
      </x:c>
      <x:c r="B32" s="6" t="s">
        <x:v>185</x:v>
      </x:c>
      <x:c r="C32" s="6" t="s">
        <x:v>117</x:v>
      </x:c>
      <x:c r="D32" s="6" t="s">
        <x:v>177</x:v>
      </x:c>
      <x:c r="E32" s="8">
        <x:v>5</x:v>
      </x:c>
      <x:c r="F32" s="8" t="s">
        <x:v>120</x:v>
      </x:c>
      <x:c r="G32" s="4">
        <x:v>5</x:v>
      </x:c>
    </x:row>
    <x:row r="33">
      <x:c r="A33" s="6" t="s">
        <x:v>186</x:v>
      </x:c>
      <x:c r="B33" s="6" t="s">
        <x:v>187</x:v>
      </x:c>
      <x:c r="C33" s="6" t="s">
        <x:v>117</x:v>
      </x:c>
      <x:c r="D33" s="6" t="s">
        <x:v>177</x:v>
      </x:c>
      <x:c r="E33" s="8">
        <x:v>6</x:v>
      </x:c>
      <x:c r="F33" s="8" t="s">
        <x:v>120</x:v>
      </x:c>
      <x:c r="G33" s="4">
        <x:v>6</x:v>
      </x:c>
    </x:row>
    <x:row r="34">
      <x:c r="A34" s="6" t="s">
        <x:v>188</x:v>
      </x:c>
      <x:c r="B34" s="6" t="s">
        <x:v>189</x:v>
      </x:c>
      <x:c r="C34" s="6" t="s">
        <x:v>117</x:v>
      </x:c>
      <x:c r="D34" s="6" t="s">
        <x:v>177</x:v>
      </x:c>
      <x:c r="E34" s="8">
        <x:v>7</x:v>
      </x:c>
      <x:c r="F34" s="8" t="s">
        <x:v>120</x:v>
      </x:c>
      <x:c r="G34" s="4">
        <x:v>7</x:v>
      </x:c>
    </x:row>
    <x:row r="35">
      <x:c r="A35" s="6" t="s">
        <x:v>190</x:v>
      </x:c>
      <x:c r="B35" s="6" t="s">
        <x:v>191</x:v>
      </x:c>
      <x:c r="C35" s="6" t="s">
        <x:v>117</x:v>
      </x:c>
      <x:c r="D35" s="6" t="s">
        <x:v>177</x:v>
      </x:c>
      <x:c r="E35" s="8">
        <x:v>8</x:v>
      </x:c>
      <x:c r="F35" s="8" t="s">
        <x:v>120</x:v>
      </x:c>
      <x:c r="G35" s="4">
        <x:v>8</x:v>
      </x:c>
    </x:row>
    <x:row r="36">
      <x:c r="A36" s="6" t="s">
        <x:v>192</x:v>
      </x:c>
      <x:c r="B36" s="6" t="s">
        <x:v>193</x:v>
      </x:c>
      <x:c r="C36" s="6" t="s">
        <x:v>117</x:v>
      </x:c>
      <x:c r="D36" s="6" t="s">
        <x:v>177</x:v>
      </x:c>
      <x:c r="E36" s="8">
        <x:v>9</x:v>
      </x:c>
      <x:c r="F36" s="8" t="s">
        <x:v>120</x:v>
      </x:c>
      <x:c r="G36" s="4">
        <x:v>9</x:v>
      </x:c>
    </x:row>
    <x:row r="37">
      <x:c r="A37" s="6" t="s">
        <x:v>194</x:v>
      </x:c>
      <x:c r="B37" s="6" t="s">
        <x:v>195</x:v>
      </x:c>
      <x:c r="C37" s="6" t="s">
        <x:v>117</x:v>
      </x:c>
      <x:c r="D37" s="6" t="s">
        <x:v>177</x:v>
      </x:c>
      <x:c r="E37" s="8">
        <x:v>10</x:v>
      </x:c>
      <x:c r="F37" s="8" t="s">
        <x:v>120</x:v>
      </x:c>
      <x:c r="G37" s="4">
        <x:v>10</x:v>
      </x:c>
    </x:row>
    <x:row r="38">
      <x:c r="A38" s="6" t="s">
        <x:v>196</x:v>
      </x:c>
      <x:c r="B38" s="6" t="s">
        <x:v>197</x:v>
      </x:c>
      <x:c r="C38" s="6" t="s">
        <x:v>117</x:v>
      </x:c>
      <x:c r="D38" s="6" t="s">
        <x:v>177</x:v>
      </x:c>
      <x:c r="E38" s="8" t="s">
        <x:v>141</x:v>
      </x:c>
      <x:c r="F38" s="8" t="s">
        <x:v>120</x:v>
      </x:c>
      <x:c r="G38" s="4">
        <x:v>10</x:v>
      </x:c>
    </x:row>
    <x:row r="39">
      <x:c r="A39" s="6" t="s">
        <x:v>198</x:v>
      </x:c>
      <x:c r="B39" s="6" t="s">
        <x:v>199</x:v>
      </x:c>
      <x:c r="C39" s="6" t="s">
        <x:v>117</x:v>
      </x:c>
      <x:c r="D39" s="6" t="s">
        <x:v>177</x:v>
      </x:c>
      <x:c r="E39" s="8" t="s">
        <x:v>144</x:v>
      </x:c>
      <x:c r="F39" s="8" t="s">
        <x:v>120</x:v>
      </x:c>
      <x:c r="G39" s="4">
        <x:v>10</x:v>
      </x:c>
    </x:row>
    <x:row r="40">
      <x:c r="A40" s="6" t="s">
        <x:v>200</x:v>
      </x:c>
      <x:c r="B40" s="6" t="s">
        <x:v>201</x:v>
      </x:c>
      <x:c r="C40" s="6" t="s">
        <x:v>117</x:v>
      </x:c>
      <x:c r="D40" s="6" t="s">
        <x:v>177</x:v>
      </x:c>
      <x:c r="E40" s="8" t="s">
        <x:v>147</x:v>
      </x:c>
      <x:c r="F40" s="8" t="s">
        <x:v>120</x:v>
      </x:c>
      <x:c r="G40" s="4">
        <x:v>10</x:v>
      </x:c>
    </x:row>
    <x:row r="41">
      <x:c r="A41" s="6" t="s">
        <x:v>202</x:v>
      </x:c>
      <x:c r="B41" s="6" t="s">
        <x:v>203</x:v>
      </x:c>
      <x:c r="C41" s="6" t="s">
        <x:v>117</x:v>
      </x:c>
      <x:c r="D41" s="6" t="s">
        <x:v>204</x:v>
      </x:c>
      <x:c r="E41" s="8" t="s">
        <x:v>119</x:v>
      </x:c>
      <x:c r="F41" s="8" t="s">
        <x:v>120</x:v>
      </x:c>
      <x:c r="G41" s="4">
        <x:v>11</x:v>
      </x:c>
    </x:row>
    <x:row r="42">
      <x:c r="A42" s="6" t="s">
        <x:v>205</x:v>
      </x:c>
      <x:c r="B42" s="6" t="s">
        <x:v>206</x:v>
      </x:c>
      <x:c r="C42" s="6" t="s">
        <x:v>117</x:v>
      </x:c>
      <x:c r="D42" s="6" t="s">
        <x:v>204</x:v>
      </x:c>
      <x:c r="E42" s="8">
        <x:v>2</x:v>
      </x:c>
      <x:c r="F42" s="8" t="s">
        <x:v>120</x:v>
      </x:c>
      <x:c r="G42" s="4">
        <x:v>2</x:v>
      </x:c>
    </x:row>
    <x:row r="43">
      <x:c r="A43" s="6" t="s">
        <x:v>207</x:v>
      </x:c>
      <x:c r="B43" s="6" t="s">
        <x:v>208</x:v>
      </x:c>
      <x:c r="C43" s="6" t="s">
        <x:v>117</x:v>
      </x:c>
      <x:c r="D43" s="6" t="s">
        <x:v>204</x:v>
      </x:c>
      <x:c r="E43" s="8">
        <x:v>3</x:v>
      </x:c>
      <x:c r="F43" s="8" t="s">
        <x:v>120</x:v>
      </x:c>
      <x:c r="G43" s="4">
        <x:v>3</x:v>
      </x:c>
    </x:row>
    <x:row r="44">
      <x:c r="A44" s="6" t="s">
        <x:v>209</x:v>
      </x:c>
      <x:c r="B44" s="6" t="s">
        <x:v>210</x:v>
      </x:c>
      <x:c r="C44" s="6" t="s">
        <x:v>117</x:v>
      </x:c>
      <x:c r="D44" s="6" t="s">
        <x:v>204</x:v>
      </x:c>
      <x:c r="E44" s="8">
        <x:v>4</x:v>
      </x:c>
      <x:c r="F44" s="8" t="s">
        <x:v>120</x:v>
      </x:c>
      <x:c r="G44" s="4">
        <x:v>4</x:v>
      </x:c>
    </x:row>
    <x:row r="45">
      <x:c r="A45" s="6" t="s">
        <x:v>211</x:v>
      </x:c>
      <x:c r="B45" s="6" t="s">
        <x:v>212</x:v>
      </x:c>
      <x:c r="C45" s="6" t="s">
        <x:v>117</x:v>
      </x:c>
      <x:c r="D45" s="6" t="s">
        <x:v>204</x:v>
      </x:c>
      <x:c r="E45" s="8">
        <x:v>5</x:v>
      </x:c>
      <x:c r="F45" s="8" t="s">
        <x:v>120</x:v>
      </x:c>
      <x:c r="G45" s="4">
        <x:v>5</x:v>
      </x:c>
    </x:row>
    <x:row r="46">
      <x:c r="A46" s="6" t="s">
        <x:v>213</x:v>
      </x:c>
      <x:c r="B46" s="6" t="s">
        <x:v>214</x:v>
      </x:c>
      <x:c r="C46" s="6" t="s">
        <x:v>117</x:v>
      </x:c>
      <x:c r="D46" s="6" t="s">
        <x:v>204</x:v>
      </x:c>
      <x:c r="E46" s="8">
        <x:v>6</x:v>
      </x:c>
      <x:c r="F46" s="8" t="s">
        <x:v>120</x:v>
      </x:c>
      <x:c r="G46" s="4">
        <x:v>6</x:v>
      </x:c>
    </x:row>
    <x:row r="47">
      <x:c r="A47" s="6" t="s">
        <x:v>215</x:v>
      </x:c>
      <x:c r="B47" s="6" t="s">
        <x:v>216</x:v>
      </x:c>
      <x:c r="C47" s="6" t="s">
        <x:v>117</x:v>
      </x:c>
      <x:c r="D47" s="6" t="s">
        <x:v>204</x:v>
      </x:c>
      <x:c r="E47" s="8">
        <x:v>7</x:v>
      </x:c>
      <x:c r="F47" s="8" t="s">
        <x:v>120</x:v>
      </x:c>
      <x:c r="G47" s="4">
        <x:v>7</x:v>
      </x:c>
    </x:row>
    <x:row r="48">
      <x:c r="A48" s="6" t="s">
        <x:v>217</x:v>
      </x:c>
      <x:c r="B48" s="6" t="s">
        <x:v>218</x:v>
      </x:c>
      <x:c r="C48" s="6" t="s">
        <x:v>117</x:v>
      </x:c>
      <x:c r="D48" s="6" t="s">
        <x:v>204</x:v>
      </x:c>
      <x:c r="E48" s="8">
        <x:v>8</x:v>
      </x:c>
      <x:c r="F48" s="8" t="s">
        <x:v>120</x:v>
      </x:c>
      <x:c r="G48" s="4">
        <x:v>8</x:v>
      </x:c>
    </x:row>
    <x:row r="49">
      <x:c r="A49" s="6" t="s">
        <x:v>219</x:v>
      </x:c>
      <x:c r="B49" s="6" t="s">
        <x:v>220</x:v>
      </x:c>
      <x:c r="C49" s="6" t="s">
        <x:v>117</x:v>
      </x:c>
      <x:c r="D49" s="6" t="s">
        <x:v>204</x:v>
      </x:c>
      <x:c r="E49" s="8">
        <x:v>9</x:v>
      </x:c>
      <x:c r="F49" s="8" t="s">
        <x:v>120</x:v>
      </x:c>
      <x:c r="G49" s="4">
        <x:v>9</x:v>
      </x:c>
    </x:row>
    <x:row r="50">
      <x:c r="A50" s="6" t="s">
        <x:v>221</x:v>
      </x:c>
      <x:c r="B50" s="6" t="s">
        <x:v>222</x:v>
      </x:c>
      <x:c r="C50" s="6" t="s">
        <x:v>117</x:v>
      </x:c>
      <x:c r="D50" s="6" t="s">
        <x:v>204</x:v>
      </x:c>
      <x:c r="E50" s="8">
        <x:v>10</x:v>
      </x:c>
      <x:c r="F50" s="8" t="s">
        <x:v>120</x:v>
      </x:c>
      <x:c r="G50" s="4">
        <x:v>10</x:v>
      </x:c>
    </x:row>
    <x:row r="51">
      <x:c r="A51" s="6" t="s">
        <x:v>223</x:v>
      </x:c>
      <x:c r="B51" s="6" t="s">
        <x:v>224</x:v>
      </x:c>
      <x:c r="C51" s="6" t="s">
        <x:v>117</x:v>
      </x:c>
      <x:c r="D51" s="6" t="s">
        <x:v>204</x:v>
      </x:c>
      <x:c r="E51" s="8" t="s">
        <x:v>141</x:v>
      </x:c>
      <x:c r="F51" s="8" t="s">
        <x:v>120</x:v>
      </x:c>
      <x:c r="G51" s="4">
        <x:v>10</x:v>
      </x:c>
    </x:row>
    <x:row r="52">
      <x:c r="A52" s="6" t="s">
        <x:v>225</x:v>
      </x:c>
      <x:c r="B52" s="6" t="s">
        <x:v>226</x:v>
      </x:c>
      <x:c r="C52" s="6" t="s">
        <x:v>117</x:v>
      </x:c>
      <x:c r="D52" s="6" t="s">
        <x:v>204</x:v>
      </x:c>
      <x:c r="E52" s="8" t="s">
        <x:v>144</x:v>
      </x:c>
      <x:c r="F52" s="8" t="s">
        <x:v>120</x:v>
      </x:c>
      <x:c r="G52" s="4">
        <x:v>10</x:v>
      </x:c>
    </x:row>
    <x:row r="53">
      <x:c r="A53" s="6" t="s">
        <x:v>227</x:v>
      </x:c>
      <x:c r="B53" s="6" t="s">
        <x:v>228</x:v>
      </x:c>
      <x:c r="C53" s="6" t="s">
        <x:v>117</x:v>
      </x:c>
      <x:c r="D53" s="6" t="s">
        <x:v>204</x:v>
      </x:c>
      <x:c r="E53" s="8" t="s">
        <x:v>147</x:v>
      </x:c>
      <x:c r="F53" s="8" t="s">
        <x:v>120</x:v>
      </x:c>
      <x:c r="G53" s="4">
        <x:v>10</x:v>
      </x:c>
    </x:row>
    <x:row r="54">
      <x:c r="F54" s="8"/>
    </x:row>
    <x:row r="55">
      <x:c r="F55" s="8"/>
    </x:row>
    <x:row r="56">
      <x:c r="F56" s="8"/>
    </x:row>
    <x:row r="57">
      <x:c r="F57" s="8"/>
    </x:row>
    <x:row r="58">
      <x:c r="F58" s="8"/>
    </x:row>
    <x:row r="59">
      <x:c r="F59" s="8"/>
    </x:row>
    <x:row r="60">
      <x:c r="F60" s="8"/>
    </x:row>
    <x:row r="61">
      <x:c r="F61" s="8"/>
    </x:row>
    <x:row r="62">
      <x:c r="F62" s="8"/>
    </x:row>
    <x:row r="63">
      <x:c r="F63" s="8"/>
    </x:row>
    <x:row r="64">
      <x:c r="F64" s="8"/>
    </x:row>
    <x:row r="65">
      <x:c r="F65" s="8"/>
    </x:row>
    <x:row r="66">
      <x:c r="F66" s="8"/>
    </x:row>
    <x:row r="67">
      <x:c r="F67" s="8"/>
    </x:row>
    <x:row r="68">
      <x:c r="F68" s="8"/>
    </x:row>
    <x:row r="69">
      <x:c r="F69" s="8"/>
    </x:row>
    <x:row r="70">
      <x:c r="F70" s="8"/>
    </x:row>
    <x:row r="71">
      <x:c r="F71" s="8"/>
    </x:row>
    <x:row r="72">
      <x:c r="F72" s="8"/>
    </x:row>
    <x:row r="73">
      <x:c r="F73" s="8"/>
    </x:row>
    <x:row r="74">
      <x:c r="F74" s="8"/>
    </x:row>
    <x:row r="75">
      <x:c r="F75" s="8"/>
    </x:row>
    <x:row r="76">
      <x:c r="F76" s="8"/>
    </x:row>
    <x:row r="77">
      <x:c r="F77" s="8"/>
    </x:row>
    <x:row r="78">
      <x:c r="F78" s="8"/>
    </x:row>
    <x:row r="79">
      <x:c r="F79" s="8"/>
    </x:row>
    <x:row r="80">
      <x:c r="F80" s="8"/>
    </x:row>
    <x:row r="81">
      <x:c r="F81" s="8"/>
    </x:row>
    <x:row r="82">
      <x:c r="F82" s="8"/>
    </x:row>
    <x:row r="83">
      <x:c r="F83" s="8"/>
    </x:row>
    <x:row r="84">
      <x:c r="F84" s="8"/>
    </x:row>
    <x:row r="85">
      <x:c r="F85" s="8"/>
    </x:row>
    <x:row r="86">
      <x:c r="F86" s="8"/>
    </x:row>
    <x:row r="87">
      <x:c r="F87" s="8"/>
    </x:row>
    <x:row r="88">
      <x:c r="F88" s="8"/>
    </x:row>
    <x:row r="89">
      <x:c r="F89" s="8"/>
    </x:row>
    <x:row r="90">
      <x:c r="F90" s="8"/>
    </x:row>
    <x:row r="91">
      <x:c r="F91" s="8"/>
    </x:row>
    <x:row r="92">
      <x:c r="F92" s="8"/>
    </x:row>
    <x:row r="93">
      <x:c r="F93" s="8"/>
    </x:row>
    <x:row r="94">
      <x:c r="F94" s="8"/>
    </x:row>
    <x:row r="95">
      <x:c r="F95" s="8"/>
    </x:row>
    <x:row r="96">
      <x:c r="F96" s="8"/>
    </x:row>
    <x:row r="97">
      <x:c r="F97" s="8"/>
    </x:row>
    <x:row r="98">
      <x:c r="F98" s="8"/>
    </x:row>
    <x:row r="99">
      <x:c r="F99" s="8"/>
    </x:row>
    <x:row r="100">
      <x:c r="F100" s="8"/>
    </x:row>
    <x:row r="101">
      <x:c r="F101" s="8"/>
    </x:row>
    <x:row r="102">
      <x:c r="F102" s="8"/>
    </x:row>
    <x:row r="103">
      <x:c r="F103" s="8"/>
    </x:row>
    <x:row r="104">
      <x:c r="F104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1" width="15.1640625" customWidth="1"/>
    <x:col min="2" max="2" width="23.5" customWidth="1"/>
    <x:col min="3" max="5" width="17.4140625" customWidth="1"/>
    <x:col min="6" max="6" width="22.75" customWidth="1"/>
    <x:col min="7" max="8" width="17.4140625" customWidth="1"/>
    <x:col min="9" max="9" width="17.08203125" customWidth="1"/>
    <x:col min="10" max="10" width="16.6640625" customWidth="1"/>
    <x:col min="11" max="11" width="22.4140625" customWidth="1"/>
    <x:col min="12" max="12" width="24.25" customWidth="1"/>
    <x:col min="13" max="13" width="15.9140625" customWidth="1"/>
    <x:col min="14" max="14" width="18.08203125" customWidth="1"/>
    <x:col min="16" max="16" width="8.6640625" customWidth="1"/>
    <x:col min="17" max="17" width="12" customWidth="1"/>
  </x:cols>
  <x:sheetData>
    <x:row r="1" s="16" customFormat="1">
      <x:c r="A1" s="2" t="s">
        <x:v>229</x:v>
      </x:c>
      <x:c r="B1" s="2" t="s">
        <x:v>230</x:v>
      </x:c>
      <x:c r="C1" s="2" t="s">
        <x:v>231</x:v>
      </x:c>
      <x:c r="D1" s="2" t="s">
        <x:v>232</x:v>
      </x:c>
      <x:c r="E1" s="2" t="s">
        <x:v>233</x:v>
      </x:c>
      <x:c r="F1" s="2" t="s">
        <x:v>234</x:v>
      </x:c>
      <x:c r="G1" s="2" t="s">
        <x:v>235</x:v>
      </x:c>
      <x:c r="H1" s="2" t="s">
        <x:v>236</x:v>
      </x:c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t="s">
        <x:v>237</x:v>
      </x:c>
      <x:c r="B2" s="13" t="s">
        <x:v>238</x:v>
      </x:c>
      <x:c r="C2" s="6" t="s">
        <x:v>239</x:v>
      </x:c>
      <x:c r="D2" s="6" t="s">
        <x:v>240</x:v>
      </x:c>
      <x:c r="E2" s="6" t="s">
        <x:v>241</x:v>
      </x:c>
      <x:c r="F2" s="6">
        <x:v>3</x:v>
      </x:c>
      <x:c r="G2" s="6">
        <x:v>2</x:v>
      </x:c>
      <x:c r="H2" s="6">
        <x:v>5</x:v>
      </x:c>
      <x:c r="I2" s="6"/>
      <x:c r="J2" s="4"/>
      <x:c r="K2" s="6"/>
      <x:c r="L2" s="6"/>
      <x:c r="M2" s="4"/>
      <x:c r="N2" s="4"/>
      <x:c r="O2" s="4"/>
      <x:c r="P2" s="4"/>
      <x:c r="Q2" s="4"/>
    </x:row>
    <x:row r="3">
      <x:c r="A3" t="s">
        <x:v>242</x:v>
      </x:c>
      <x:c r="B3" s="13" t="s">
        <x:v>243</x:v>
      </x:c>
      <x:c r="C3" s="6" t="s">
        <x:v>244</x:v>
      </x:c>
      <x:c r="D3" s="6" t="s">
        <x:v>245</x:v>
      </x:c>
      <x:c r="E3" s="6" t="s">
        <x:v>246</x:v>
      </x:c>
      <x:c r="F3" s="6">
        <x:v>3</x:v>
      </x:c>
      <x:c r="G3" s="6">
        <x:v>2</x:v>
      </x:c>
      <x:c r="H3" s="6">
        <x:v>5</x:v>
      </x:c>
      <x:c r="I3" s="6"/>
      <x:c r="J3" s="4"/>
      <x:c r="K3" s="6"/>
      <x:c r="L3" s="6"/>
      <x:c r="M3" s="4"/>
      <x:c r="N3" s="4"/>
      <x:c r="O3" s="4"/>
      <x:c r="P3" s="4"/>
      <x:c r="Q3" s="4"/>
    </x:row>
    <x:row r="4">
      <x:c r="A4" t="s">
        <x:v>247</x:v>
      </x:c>
      <x:c r="B4" s="13" t="s">
        <x:v>248</x:v>
      </x:c>
      <x:c r="C4" s="6" t="s">
        <x:v>249</x:v>
      </x:c>
      <x:c r="D4" s="6" t="s">
        <x:v>250</x:v>
      </x:c>
      <x:c r="E4" s="6" t="s">
        <x:v>251</x:v>
      </x:c>
      <x:c r="F4" s="6">
        <x:v>3</x:v>
      </x:c>
      <x:c r="G4" s="6">
        <x:v>2</x:v>
      </x:c>
      <x:c r="H4" s="6">
        <x:v>5</x:v>
      </x:c>
      <x:c r="I4" s="6"/>
      <x:c r="J4" s="4"/>
      <x:c r="K4" s="6"/>
      <x:c r="L4" s="6"/>
      <x:c r="M4" s="4"/>
      <x:c r="N4" s="4"/>
      <x:c r="O4" s="4"/>
      <x:c r="P4" s="4"/>
      <x:c r="Q4" s="4"/>
    </x:row>
    <x:row r="5">
      <x:c r="A5" t="s">
        <x:v>252</x:v>
      </x:c>
      <x:c r="B5" s="13" t="s">
        <x:v>253</x:v>
      </x:c>
      <x:c r="C5" s="6" t="s">
        <x:v>254</x:v>
      </x:c>
      <x:c r="D5" s="6" t="s">
        <x:v>255</x:v>
      </x:c>
      <x:c r="E5" s="6" t="s">
        <x:v>256</x:v>
      </x:c>
      <x:c r="F5" s="6">
        <x:v>3</x:v>
      </x:c>
      <x:c r="G5" s="6">
        <x:v>2</x:v>
      </x:c>
      <x:c r="H5" s="6">
        <x:v>5</x:v>
      </x:c>
      <x:c r="I5" s="6"/>
      <x:c r="J5" s="4"/>
      <x:c r="K5" s="6"/>
      <x:c r="L5" s="6"/>
      <x:c r="M5" s="4"/>
      <x:c r="N5" s="4"/>
      <x:c r="O5" s="4"/>
      <x:c r="P5" s="4"/>
      <x:c r="Q5" s="4"/>
    </x:row>
    <x:row r="6">
      <x:c r="A6" t="s">
        <x:v>257</x:v>
      </x:c>
      <x:c r="B6" s="13" t="s">
        <x:v>258</x:v>
      </x:c>
      <x:c r="C6" s="6" t="s">
        <x:v>259</x:v>
      </x:c>
      <x:c r="D6" s="6" t="s">
        <x:v>260</x:v>
      </x:c>
      <x:c r="E6" s="6" t="s">
        <x:v>261</x:v>
      </x:c>
      <x:c r="F6" s="6">
        <x:v>3</x:v>
      </x:c>
      <x:c r="G6" s="6">
        <x:v>2</x:v>
      </x:c>
      <x:c r="H6" s="6">
        <x:v>5</x:v>
      </x:c>
      <x:c r="I6" s="6"/>
      <x:c r="J6" s="4"/>
      <x:c r="K6" s="6"/>
      <x:c r="L6" s="6"/>
      <x:c r="M6" s="4"/>
      <x:c r="N6" s="4"/>
      <x:c r="O6" s="4"/>
      <x:c r="P6" s="4"/>
      <x:c r="Q6" s="4"/>
    </x:row>
    <x:row r="7">
      <x:c r="A7" t="s">
        <x:v>262</x:v>
      </x:c>
      <x:c r="B7" s="13" t="s">
        <x:v>263</x:v>
      </x:c>
      <x:c r="C7" s="6" t="s">
        <x:v>264</x:v>
      </x:c>
      <x:c r="D7" s="6" t="s">
        <x:v>265</x:v>
      </x:c>
      <x:c r="E7" s="6" t="s">
        <x:v>266</x:v>
      </x:c>
      <x:c r="F7" s="6">
        <x:v>3</x:v>
      </x:c>
      <x:c r="G7" s="6">
        <x:v>2</x:v>
      </x:c>
      <x:c r="H7" s="6">
        <x:v>5</x:v>
      </x:c>
      <x:c r="I7" s="6"/>
      <x:c r="J7" s="4"/>
      <x:c r="K7" s="6"/>
      <x:c r="L7" s="6"/>
      <x:c r="M7" s="4"/>
      <x:c r="N7" s="4"/>
      <x:c r="O7" s="4"/>
      <x:c r="P7" s="4"/>
      <x:c r="Q7" s="4"/>
    </x:row>
    <x:row r="8">
      <x:c r="A8" t="s">
        <x:v>267</x:v>
      </x:c>
      <x:c r="B8" s="13" t="s">
        <x:v>268</x:v>
      </x:c>
      <x:c r="C8" s="6" t="s">
        <x:v>269</x:v>
      </x:c>
      <x:c r="D8" s="6" t="s">
        <x:v>270</x:v>
      </x:c>
      <x:c r="E8" s="6" t="s">
        <x:v>271</x:v>
      </x:c>
      <x:c r="F8" s="6">
        <x:v>3</x:v>
      </x:c>
      <x:c r="G8" s="6">
        <x:v>2</x:v>
      </x:c>
      <x:c r="H8" s="6">
        <x:v>5</x:v>
      </x:c>
      <x:c r="I8" s="6"/>
      <x:c r="J8" s="4"/>
      <x:c r="K8" s="6"/>
      <x:c r="L8" s="6"/>
      <x:c r="M8" s="4"/>
      <x:c r="N8" s="4"/>
      <x:c r="O8" s="4"/>
      <x:c r="P8" s="4"/>
      <x:c r="Q8" s="4"/>
    </x:row>
    <x:row r="9">
      <x:c r="A9" t="s">
        <x:v>272</x:v>
      </x:c>
      <x:c r="B9" s="13" t="s">
        <x:v>273</x:v>
      </x:c>
      <x:c r="C9" s="6" t="s">
        <x:v>274</x:v>
      </x:c>
      <x:c r="D9" s="6" t="s">
        <x:v>275</x:v>
      </x:c>
      <x:c r="E9" s="6" t="s">
        <x:v>276</x:v>
      </x:c>
      <x:c r="F9" s="6">
        <x:v>3</x:v>
      </x:c>
      <x:c r="G9" s="6">
        <x:v>2</x:v>
      </x:c>
      <x:c r="H9" s="6">
        <x:v>5</x:v>
      </x:c>
      <x:c r="I9" s="6"/>
      <x:c r="J9" s="4"/>
      <x:c r="K9" s="6"/>
      <x:c r="L9" s="6"/>
      <x:c r="M9" s="4"/>
      <x:c r="N9" s="4"/>
      <x:c r="O9" s="4"/>
      <x:c r="P9" s="4"/>
      <x:c r="Q9" s="4"/>
    </x:row>
    <x:row r="10">
      <x:c r="B10" s="13"/>
      <x:c r="C10" s="6"/>
      <x:c r="D10" s="6"/>
      <x:c r="E10" s="6"/>
      <x:c r="F10" s="6"/>
      <x:c r="G10" s="6"/>
      <x:c r="H10" s="6"/>
      <x:c r="I10" s="6"/>
      <x:c r="J10" s="4"/>
      <x:c r="K10" s="6"/>
      <x:c r="L10" s="6"/>
      <x:c r="M10" s="4"/>
      <x:c r="N10" s="4"/>
      <x:c r="O10" s="4"/>
      <x:c r="P10" s="4"/>
      <x:c r="Q10" s="4"/>
    </x:row>
    <x:row r="11">
      <x:c r="B11" s="13"/>
      <x:c r="C11" s="6"/>
      <x:c r="D11" s="6"/>
      <x:c r="E11" s="6"/>
      <x:c r="F11" s="6"/>
      <x:c r="G11" s="6"/>
      <x:c r="H11" s="6"/>
      <x:c r="I11" s="6"/>
      <x:c r="J11" s="4"/>
      <x:c r="K11" s="6"/>
      <x:c r="L11" s="6"/>
      <x:c r="M11" s="4"/>
      <x:c r="N11" s="4"/>
      <x:c r="O11" s="4"/>
      <x:c r="P11" s="4"/>
      <x:c r="Q11" s="4"/>
    </x:row>
    <x:row r="12">
      <x:c r="B12" s="13"/>
      <x:c r="C12" s="6"/>
      <x:c r="D12" s="6"/>
      <x:c r="E12" s="6"/>
      <x:c r="F12" s="6"/>
      <x:c r="G12" s="6"/>
      <x:c r="H12" s="6"/>
      <x:c r="I12" s="6"/>
      <x:c r="J12" s="4"/>
      <x:c r="K12" s="6"/>
      <x:c r="L12" s="6"/>
      <x:c r="M12" s="4"/>
      <x:c r="N12" s="4"/>
      <x:c r="O12" s="4"/>
      <x:c r="P12" s="4"/>
      <x:c r="Q12" s="4"/>
    </x:row>
    <x:row r="13">
      <x:c r="B13" s="13"/>
      <x:c r="C13" s="6"/>
      <x:c r="D13" s="6"/>
      <x:c r="E13" s="6"/>
      <x:c r="F13" s="6"/>
      <x:c r="G13" s="6"/>
      <x:c r="H13" s="6"/>
      <x:c r="I13" s="6"/>
      <x:c r="J13" s="4"/>
      <x:c r="K13" s="6"/>
      <x:c r="L13" s="6"/>
      <x:c r="M13" s="4"/>
      <x:c r="N13" s="4"/>
      <x:c r="O13" s="4"/>
      <x:c r="P13" s="4"/>
      <x:c r="Q13" s="4"/>
    </x:row>
    <x:row r="14">
      <x:c r="B14" s="13"/>
      <x:c r="C14" s="6"/>
      <x:c r="D14" s="6"/>
      <x:c r="E14" s="6"/>
      <x:c r="F14" s="6"/>
      <x:c r="G14" s="6"/>
      <x:c r="H14" s="6"/>
      <x:c r="I14" s="6"/>
      <x:c r="J14" s="4"/>
      <x:c r="K14" s="6"/>
      <x:c r="L14" s="6"/>
      <x:c r="M14" s="4"/>
      <x:c r="N14" s="4"/>
      <x:c r="O14" s="4"/>
      <x:c r="P14" s="4"/>
      <x:c r="Q14" s="4"/>
      <x:c r="R14" s="5"/>
      <x:c r="S14" s="5"/>
      <x:c r="T14" s="5"/>
      <x:c r="U14" s="5"/>
      <x:c r="V14" s="5"/>
    </x:row>
    <x:row r="15">
      <x:c r="B15" s="13"/>
      <x:c r="C15" s="6"/>
      <x:c r="D15" s="6"/>
      <x:c r="E15" s="6"/>
      <x:c r="F15" s="6"/>
      <x:c r="G15" s="6"/>
      <x:c r="H15" s="6"/>
      <x:c r="I15" s="6"/>
      <x:c r="J15" s="4"/>
      <x:c r="K15" s="6"/>
      <x:c r="L15" s="6"/>
      <x:c r="M15" s="4"/>
      <x:c r="N15" s="4"/>
      <x:c r="O15" s="4"/>
      <x:c r="P15" s="4"/>
      <x:c r="Q15" s="4"/>
      <x:c r="R15" s="4"/>
      <x:c r="S15" s="4"/>
      <x:c r="T15" s="4"/>
      <x:c r="U15" s="4"/>
      <x:c r="V15" s="4"/>
    </x:row>
    <x:row r="16">
      <x:c r="B16" s="13"/>
      <x:c r="C16" s="6"/>
      <x:c r="D16" s="6"/>
      <x:c r="E16" s="6"/>
      <x:c r="F16" s="6"/>
      <x:c r="G16" s="6"/>
      <x:c r="H16" s="6"/>
      <x:c r="I16" s="6"/>
      <x:c r="J16" s="4"/>
      <x:c r="K16" s="6"/>
      <x:c r="L16" s="6"/>
      <x:c r="M16" s="4"/>
      <x:c r="N16" s="4"/>
      <x:c r="O16" s="4"/>
      <x:c r="P16" s="4"/>
      <x:c r="Q16" s="4"/>
      <x:c r="R16" s="4"/>
      <x:c r="S16" s="4"/>
      <x:c r="T16" s="4"/>
      <x:c r="U16" s="4"/>
      <x:c r="V16" s="4"/>
    </x:row>
    <x:row r="17">
      <x:c r="B17" s="13"/>
      <x:c r="C17" s="6"/>
      <x:c r="D17" s="6"/>
      <x:c r="E17" s="6"/>
      <x:c r="F17" s="6"/>
      <x:c r="G17" s="6"/>
      <x:c r="H17" s="6"/>
      <x:c r="I17" s="6"/>
      <x:c r="J17" s="4"/>
      <x:c r="K17" s="6"/>
      <x:c r="L17" s="6"/>
      <x:c r="M17" s="4"/>
      <x:c r="N17" s="4"/>
      <x:c r="O17" s="4"/>
      <x:c r="P17" s="4"/>
      <x:c r="Q17" s="4"/>
      <x:c r="R17" s="4"/>
      <x:c r="S17" s="4"/>
      <x:c r="T17" s="4"/>
      <x:c r="U17" s="4"/>
      <x:c r="V17" s="4"/>
    </x:row>
    <x:row r="18">
      <x:c r="I18" s="6"/>
      <x:c r="J18" s="6"/>
      <x:c r="K18" s="6"/>
      <x:c r="L18" s="6"/>
      <x:c r="M18" s="6"/>
      <x:c r="N18" s="6"/>
      <x:c r="O18" s="4"/>
      <x:c r="P18" s="4"/>
      <x:c r="Q18" s="4"/>
      <x:c r="R18" s="4"/>
      <x:c r="S18" s="4"/>
      <x:c r="T18" s="4"/>
      <x:c r="U18" s="4"/>
      <x:c r="V18" s="4"/>
    </x:row>
    <x:row r="19">
      <x:c r="A19" s="3"/>
      <x:c r="B19" s="3"/>
      <x:c r="C19" s="3"/>
      <x:c r="D19" s="3"/>
      <x:c r="E19" s="3"/>
      <x:c r="F19" s="3"/>
      <x:c r="G19" s="3"/>
      <x:c r="H19" s="3"/>
      <x:c r="I19" s="5"/>
      <x:c r="J19" s="3"/>
      <x:c r="K19" s="3"/>
      <x:c r="L19" s="5"/>
      <x:c r="M19" s="5"/>
      <x:c r="N19" s="5"/>
      <x:c r="O19" s="5"/>
      <x:c r="P19" s="5"/>
      <x:c r="Q19" s="4"/>
      <x:c r="R19" s="4"/>
      <x:c r="S19" s="4"/>
      <x:c r="T19" s="4"/>
      <x:c r="U19" s="4"/>
      <x:c r="V19" s="4"/>
    </x:row>
    <x:row r="20">
      <x:c r="A20" s="6"/>
      <x:c r="B20" s="6"/>
      <x:c r="C20" s="6"/>
      <x:c r="D20" s="6"/>
      <x:c r="E20" s="6"/>
      <x:c r="F20" s="6"/>
      <x:c r="G20" s="6"/>
      <x:c r="H20" s="6"/>
      <x:c r="I20" s="4"/>
      <x:c r="J20" s="6"/>
      <x:c r="K20" s="6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</x:row>
    <x:row r="21">
      <x:c r="A21" s="6"/>
      <x:c r="B21" s="6"/>
      <x:c r="C21" s="6"/>
      <x:c r="D21" s="6"/>
      <x:c r="E21" s="6"/>
      <x:c r="F21" s="6"/>
      <x:c r="G21" s="6"/>
      <x:c r="H21" s="6"/>
      <x:c r="I21" s="4"/>
      <x:c r="J21" s="6"/>
      <x:c r="K21" s="6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</x:row>
    <x:row r="22">
      <x:c r="A22" s="6"/>
      <x:c r="B22" s="6"/>
      <x:c r="C22" s="6"/>
      <x:c r="D22" s="6"/>
      <x:c r="E22" s="6"/>
      <x:c r="F22" s="6"/>
      <x:c r="G22" s="6"/>
      <x:c r="H22" s="6"/>
      <x:c r="I22" s="4"/>
      <x:c r="J22" s="6"/>
      <x:c r="K22" s="6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</x:row>
    <x:row r="23">
      <x:c r="A23" s="6"/>
      <x:c r="B23" s="6"/>
      <x:c r="C23" s="6"/>
      <x:c r="D23" s="6"/>
      <x:c r="E23" s="6"/>
      <x:c r="F23" s="6"/>
      <x:c r="G23" s="6"/>
      <x:c r="H23" s="6"/>
      <x:c r="I23" s="4"/>
      <x:c r="J23" s="6"/>
      <x:c r="K23" s="6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</x:row>
    <x:row r="24">
      <x:c r="A24" s="6"/>
      <x:c r="B24" s="6"/>
      <x:c r="C24" s="6"/>
      <x:c r="D24" s="6"/>
      <x:c r="E24" s="6"/>
      <x:c r="F24" s="6"/>
      <x:c r="G24" s="6"/>
      <x:c r="H24" s="6"/>
      <x:c r="I24" s="4"/>
      <x:c r="J24" s="6"/>
      <x:c r="K24" s="6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</x:row>
    <x:row r="25">
      <x:c r="A25" s="6"/>
      <x:c r="B25" s="6"/>
      <x:c r="C25" s="6"/>
      <x:c r="D25" s="6"/>
      <x:c r="E25" s="6"/>
      <x:c r="F25" s="6"/>
      <x:c r="G25" s="6"/>
      <x:c r="H25" s="6"/>
      <x:c r="I25" s="4"/>
      <x:c r="J25" s="6"/>
      <x:c r="K25" s="6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</x:row>
    <x:row r="26">
      <x:c r="A26" s="6"/>
      <x:c r="B26" s="6"/>
      <x:c r="C26" s="6"/>
      <x:c r="D26" s="6"/>
      <x:c r="E26" s="6"/>
      <x:c r="F26" s="6"/>
      <x:c r="G26" s="6"/>
      <x:c r="H26" s="6"/>
      <x:c r="I26" s="4"/>
      <x:c r="J26" s="6"/>
      <x:c r="K26" s="6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</x:row>
    <x:row r="27">
      <x:c r="A27" s="6"/>
      <x:c r="B27" s="6"/>
      <x:c r="C27" s="6"/>
      <x:c r="D27" s="6"/>
      <x:c r="E27" s="6"/>
      <x:c r="F27" s="6"/>
      <x:c r="G27" s="6"/>
      <x:c r="H27" s="6"/>
      <x:c r="I27" s="4"/>
      <x:c r="J27" s="6"/>
      <x:c r="K27" s="6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</x:row>
    <x:row r="28">
      <x:c r="A28" s="6"/>
      <x:c r="B28" s="6"/>
      <x:c r="C28" s="6"/>
      <x:c r="D28" s="6"/>
      <x:c r="E28" s="6"/>
      <x:c r="F28" s="6"/>
      <x:c r="G28" s="6"/>
      <x:c r="H28" s="6"/>
      <x:c r="I28" s="4"/>
      <x:c r="J28" s="6"/>
      <x:c r="K28" s="6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</x:row>
    <x:row r="29">
      <x:c r="A29" s="6"/>
      <x:c r="B29" s="6"/>
      <x:c r="C29" s="6"/>
      <x:c r="D29" s="6"/>
      <x:c r="E29" s="6"/>
      <x:c r="F29" s="6"/>
      <x:c r="G29" s="6"/>
      <x:c r="H29" s="6"/>
      <x:c r="I29" s="4"/>
      <x:c r="J29" s="6"/>
      <x:c r="K29" s="6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</x:row>
    <x:row r="30">
      <x:c r="A30" s="6"/>
      <x:c r="B30" s="6"/>
      <x:c r="C30" s="6"/>
      <x:c r="D30" s="6"/>
      <x:c r="E30" s="6"/>
      <x:c r="F30" s="6"/>
      <x:c r="G30" s="6"/>
      <x:c r="H30" s="6"/>
      <x:c r="I30" s="4"/>
      <x:c r="J30" s="6"/>
      <x:c r="K30" s="6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</x:row>
    <x:row r="31">
      <x:c r="A31" s="6"/>
      <x:c r="B31" s="6"/>
      <x:c r="C31" s="6"/>
      <x:c r="D31" s="6"/>
      <x:c r="E31" s="6"/>
      <x:c r="F31" s="6"/>
      <x:c r="G31" s="6"/>
      <x:c r="H31" s="6"/>
      <x:c r="I31" s="4"/>
      <x:c r="J31" s="6"/>
      <x:c r="K31" s="6"/>
      <x:c r="L31" s="4"/>
      <x:c r="M31" s="4"/>
      <x:c r="N31" s="4"/>
      <x:c r="O31" s="4"/>
      <x:c r="P31" s="4"/>
    </x:row>
    <x:row r="32">
      <x:c r="A32" s="6"/>
      <x:c r="B32" s="6"/>
      <x:c r="C32" s="6"/>
      <x:c r="D32" s="6"/>
      <x:c r="E32" s="6"/>
      <x:c r="F32" s="6"/>
      <x:c r="G32" s="6"/>
      <x:c r="H32" s="6"/>
      <x:c r="I32" s="4"/>
      <x:c r="J32" s="6"/>
      <x:c r="K32" s="6"/>
      <x:c r="L32" s="4"/>
      <x:c r="M32" s="4"/>
      <x:c r="N32" s="4"/>
      <x:c r="O32" s="4"/>
      <x:c r="P32" s="4"/>
    </x:row>
    <x:row r="33">
      <x:c r="A33" s="6"/>
      <x:c r="B33" s="6"/>
      <x:c r="C33" s="6"/>
      <x:c r="D33" s="6"/>
      <x:c r="E33" s="6"/>
      <x:c r="F33" s="6"/>
      <x:c r="G33" s="6"/>
      <x:c r="H33" s="6"/>
      <x:c r="I33" s="4"/>
      <x:c r="J33" s="6"/>
      <x:c r="K33" s="6"/>
      <x:c r="L33" s="4"/>
      <x:c r="M33" s="4"/>
      <x:c r="N33" s="4"/>
      <x:c r="O33" s="4"/>
      <x:c r="P33" s="4"/>
    </x:row>
    <x:row r="34">
      <x:c r="A34" s="6"/>
      <x:c r="B34" s="6"/>
      <x:c r="C34" s="6"/>
      <x:c r="D34" s="6"/>
      <x:c r="E34" s="6"/>
      <x:c r="F34" s="6"/>
      <x:c r="G34" s="6"/>
      <x:c r="H34" s="6"/>
      <x:c r="I34" s="4"/>
      <x:c r="J34" s="6"/>
      <x:c r="K34" s="6"/>
      <x:c r="L34" s="4"/>
      <x:c r="M34" s="4"/>
      <x:c r="N34" s="4"/>
      <x:c r="O34" s="4"/>
      <x:c r="P34" s="4"/>
    </x:row>
    <x:row r="35">
      <x:c r="A35" s="6"/>
      <x:c r="B35" s="6"/>
      <x:c r="C35" s="6"/>
      <x:c r="D35" s="6"/>
      <x:c r="E35" s="6"/>
      <x:c r="F35" s="6"/>
      <x:c r="G35" s="6"/>
      <x:c r="H35" s="6"/>
      <x:c r="I35" s="4"/>
      <x:c r="J35" s="6"/>
      <x:c r="K35" s="6"/>
      <x:c r="L35" s="4"/>
      <x:c r="M35" s="4"/>
      <x:c r="N35" s="4"/>
      <x:c r="O35" s="4"/>
      <x:c r="P35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"/>
  <x:cols>
    <x:col min="1" max="1" width="21.9140625" customWidth="1"/>
    <x:col min="2" max="2" width="31.6640625" customWidth="1"/>
    <x:col min="3" max="4" width="18.58203125" customWidth="1"/>
    <x:col min="5" max="5" width="20.9140625" customWidth="1"/>
  </x:cols>
  <x:sheetData>
    <x:row r="1" s="16" customFormat="1">
      <x:c r="A1" s="12" t="s">
        <x:v>231</x:v>
      </x:c>
      <x:c r="B1" s="12" t="s">
        <x:v>277</x:v>
      </x:c>
      <x:c r="C1" s="2" t="s">
        <x:v>278</x:v>
      </x:c>
      <x:c r="D1" s="2" t="s">
        <x:v>279</x:v>
      </x:c>
      <x:c r="E1" s="12" t="s">
        <x:v>280</x:v>
      </x:c>
    </x:row>
    <x:row r="2" ht="13" customHeight="1">
      <x:c r="A2" s="6" t="s">
        <x:v>240</x:v>
      </x:c>
      <x:c r="B2" s="6" t="s">
        <x:v>281</x:v>
      </x:c>
      <x:c r="C2" s="10" t="s">
        <x:v>282</x:v>
      </x:c>
      <x:c r="D2" s="10" t="s">
        <x:v>283</x:v>
      </x:c>
      <x:c r="E2" s="6">
        <x:v>2</x:v>
      </x:c>
    </x:row>
    <x:row r="3">
      <x:c r="A3" s="6" t="s">
        <x:v>245</x:v>
      </x:c>
      <x:c r="B3" s="24" t="s">
        <x:v>284</x:v>
      </x:c>
      <x:c r="C3" s="10" t="s">
        <x:v>285</x:v>
      </x:c>
      <x:c r="D3" s="10" t="s">
        <x:v>286</x:v>
      </x:c>
      <x:c r="E3" s="6">
        <x:v>4</x:v>
      </x:c>
    </x:row>
    <x:row r="4">
      <x:c r="A4" s="6" t="s">
        <x:v>250</x:v>
      </x:c>
      <x:c r="B4" s="24" t="s">
        <x:v>287</x:v>
      </x:c>
      <x:c r="C4" s="10" t="s">
        <x:v>288</x:v>
      </x:c>
      <x:c r="D4" s="10" t="s">
        <x:v>283</x:v>
      </x:c>
      <x:c r="E4" s="1" t="s">
        <x:v>86</x:v>
      </x:c>
    </x:row>
    <x:row r="5">
      <x:c r="A5" s="6" t="s">
        <x:v>255</x:v>
      </x:c>
      <x:c r="B5" s="24" t="s">
        <x:v>289</x:v>
      </x:c>
      <x:c r="C5" s="10" t="s">
        <x:v>290</x:v>
      </x:c>
      <x:c r="D5" s="10" t="s">
        <x:v>283</x:v>
      </x:c>
      <x:c r="E5" s="6">
        <x:v>0</x:v>
      </x:c>
    </x:row>
    <x:row r="6">
      <x:c r="A6" s="6" t="s">
        <x:v>260</x:v>
      </x:c>
      <x:c r="B6" s="24" t="s">
        <x:v>291</x:v>
      </x:c>
      <x:c r="C6" s="10" t="s">
        <x:v>292</x:v>
      </x:c>
      <x:c r="D6" s="10" t="s">
        <x:v>283</x:v>
      </x:c>
      <x:c r="E6" s="6">
        <x:v>1</x:v>
      </x:c>
    </x:row>
    <x:row r="7">
      <x:c r="A7" s="6" t="s">
        <x:v>265</x:v>
      </x:c>
      <x:c r="B7" s="24" t="s">
        <x:v>293</x:v>
      </x:c>
      <x:c r="C7" s="10" t="s">
        <x:v>282</x:v>
      </x:c>
      <x:c r="D7" s="14" t="s">
        <x:v>294</x:v>
      </x:c>
      <x:c r="E7" s="6">
        <x:v>2</x:v>
      </x:c>
    </x:row>
    <x:row r="8">
      <x:c r="A8" s="6" t="s">
        <x:v>270</x:v>
      </x:c>
      <x:c r="B8" s="24" t="s">
        <x:v>295</x:v>
      </x:c>
      <x:c r="C8" s="10" t="s">
        <x:v>296</x:v>
      </x:c>
      <x:c r="D8" s="10" t="s">
        <x:v>297</x:v>
      </x:c>
      <x:c r="E8" s="6">
        <x:v>4</x:v>
      </x:c>
    </x:row>
    <x:row r="9">
      <x:c r="A9" s="6" t="s">
        <x:v>275</x:v>
      </x:c>
      <x:c r="B9" s="24" t="s">
        <x:v>298</x:v>
      </x:c>
      <x:c r="C9" s="10" t="s">
        <x:v>288</x:v>
      </x:c>
      <x:c r="D9" s="10" t="s">
        <x:v>283</x:v>
      </x:c>
      <x:c r="E9" s="1" t="s">
        <x:v>97</x:v>
      </x:c>
    </x:row>
    <x:row r="10">
      <x:c r="A10" s="6"/>
    </x:row>
    <x:row r="11">
      <x:c r="A11" s="6"/>
    </x:row>
    <x:row r="12">
      <x:c r="A12" s="6"/>
    </x:row>
    <x:row r="13">
      <x:c r="A13" s="6"/>
    </x:row>
    <x:row r="14">
      <x:c r="A14" s="6"/>
    </x:row>
    <x:row r="15">
      <x:c r="A15" s="6"/>
    </x:row>
    <x:row r="16">
      <x:c r="A16" s="6"/>
    </x:row>
    <x:row r="17">
      <x:c r="A17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"/>
  <x:cols>
    <x:col min="1" max="1" width="22.5" customWidth="1"/>
    <x:col min="2" max="2" width="25.25" customWidth="1"/>
    <x:col min="3" max="3" width="17.5" customWidth="1"/>
    <x:col min="4" max="4" width="20.6640625" customWidth="1"/>
    <x:col min="5" max="5" width="14.83203125" customWidth="1"/>
    <x:col min="6" max="6" width="15.9140625" customWidth="1"/>
    <x:col min="7" max="7" width="13.5" customWidth="1"/>
    <x:col min="8" max="8" width="19" customWidth="1"/>
  </x:cols>
  <x:sheetData>
    <x:row r="1" s="16" customFormat="1">
      <x:c r="A1" s="12" t="s">
        <x:v>232</x:v>
      </x:c>
      <x:c r="B1" s="2" t="s">
        <x:v>299</x:v>
      </x:c>
      <x:c r="C1" s="2" t="s">
        <x:v>300</x:v>
      </x:c>
      <x:c r="D1" s="12" t="s">
        <x:v>301</x:v>
      </x:c>
      <x:c r="E1" s="2" t="s">
        <x:v>302</x:v>
      </x:c>
      <x:c r="F1" s="2"/>
      <x:c r="G1" s="2"/>
      <x:c r="H1" s="2"/>
    </x:row>
    <x:row r="2">
      <x:c r="A2" s="6" t="s">
        <x:v>240</x:v>
      </x:c>
      <x:c r="B2" s="10" t="s">
        <x:v>81</x:v>
      </x:c>
      <x:c r="C2" s="10" t="s">
        <x:v>303</x:v>
      </x:c>
      <x:c r="D2" s="6">
        <x:v>15</x:v>
      </x:c>
      <x:c r="E2" t="s">
        <x:v>304</x:v>
      </x:c>
      <x:c r="H2" s="10"/>
    </x:row>
    <x:row r="3">
      <x:c r="A3" s="6" t="s">
        <x:v>245</x:v>
      </x:c>
      <x:c r="B3" s="10" t="s">
        <x:v>82</x:v>
      </x:c>
      <x:c r="C3" s="10" t="s">
        <x:v>303</x:v>
      </x:c>
      <x:c r="D3" s="6">
        <x:v>1</x:v>
      </x:c>
      <x:c r="E3" t="s">
        <x:v>304</x:v>
      </x:c>
      <x:c r="H3" s="10"/>
    </x:row>
    <x:row r="4">
      <x:c r="A4" s="6" t="s">
        <x:v>250</x:v>
      </x:c>
      <x:c r="B4" s="10" t="s">
        <x:v>81</x:v>
      </x:c>
      <x:c r="C4" s="10" t="s">
        <x:v>303</x:v>
      </x:c>
      <x:c r="D4" s="6">
        <x:v>40</x:v>
      </x:c>
      <x:c r="E4" t="s">
        <x:v>304</x:v>
      </x:c>
      <x:c r="H4" s="10"/>
    </x:row>
    <x:row r="5">
      <x:c r="A5" s="6" t="s">
        <x:v>255</x:v>
      </x:c>
      <x:c r="B5" s="10" t="s">
        <x:v>81</x:v>
      </x:c>
      <x:c r="C5" s="10" t="s">
        <x:v>303</x:v>
      </x:c>
      <x:c r="D5" s="6">
        <x:v>30</x:v>
      </x:c>
      <x:c r="E5" t="s">
        <x:v>304</x:v>
      </x:c>
      <x:c r="H5" s="10"/>
    </x:row>
    <x:row r="6">
      <x:c r="A6" s="6" t="s">
        <x:v>260</x:v>
      </x:c>
      <x:c r="B6" s="10" t="s">
        <x:v>82</x:v>
      </x:c>
      <x:c r="C6" s="10" t="s">
        <x:v>303</x:v>
      </x:c>
      <x:c r="D6" s="6">
        <x:v>1</x:v>
      </x:c>
      <x:c r="E6" t="s">
        <x:v>304</x:v>
      </x:c>
      <x:c r="H6" s="10"/>
    </x:row>
    <x:row r="7">
      <x:c r="A7" s="6" t="s">
        <x:v>265</x:v>
      </x:c>
      <x:c r="B7" s="14" t="s">
        <x:v>81</x:v>
      </x:c>
      <x:c r="C7" s="14" t="s">
        <x:v>303</x:v>
      </x:c>
      <x:c r="D7" s="6">
        <x:v>20</x:v>
      </x:c>
      <x:c r="E7" t="s">
        <x:v>304</x:v>
      </x:c>
      <x:c r="H7" s="10"/>
    </x:row>
    <x:row r="8">
      <x:c r="A8" s="6" t="s">
        <x:v>270</x:v>
      </x:c>
      <x:c r="B8" s="10" t="s">
        <x:v>81</x:v>
      </x:c>
      <x:c r="C8" s="10" t="s">
        <x:v>303</x:v>
      </x:c>
      <x:c r="D8" s="6">
        <x:v>20</x:v>
      </x:c>
      <x:c r="E8" t="s">
        <x:v>304</x:v>
      </x:c>
      <x:c r="H8" s="10"/>
    </x:row>
    <x:row r="9">
      <x:c r="A9" s="6" t="s">
        <x:v>275</x:v>
      </x:c>
      <x:c r="B9" s="10" t="s">
        <x:v>305</x:v>
      </x:c>
      <x:c r="C9" s="10" t="s">
        <x:v>303</x:v>
      </x:c>
      <x:c r="D9" s="15">
        <x:v>0.05</x:v>
      </x:c>
      <x:c r="E9" t="s">
        <x:v>304</x:v>
      </x:c>
      <x:c r="H9" s="10"/>
    </x:row>
    <x:row r="10">
      <x:c r="A10" s="6"/>
    </x:row>
    <x:row r="11">
      <x:c r="A11" s="6"/>
    </x:row>
    <x:row r="12">
      <x:c r="A12" s="6"/>
    </x:row>
    <x:row r="13">
      <x:c r="A13" s="6"/>
    </x:row>
    <x:row r="14">
      <x:c r="A14" s="6"/>
    </x:row>
    <x:row r="15">
      <x:c r="A15" s="6"/>
    </x:row>
    <x:row r="16">
      <x:c r="A16" s="6"/>
    </x:row>
    <x:row r="17">
      <x:c r="A17" s="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"/>
  <x:cols>
    <x:col min="1" max="1" width="19.83203125" customWidth="1"/>
    <x:col min="2" max="2" width="20.08203125" customWidth="1"/>
    <x:col min="3" max="3" width="13.6640625" customWidth="1"/>
    <x:col min="4" max="5" width="23.58203125" customWidth="1"/>
    <x:col min="6" max="6" width="14.83203125" customWidth="1"/>
    <x:col min="7" max="7" width="17.5" style="1" customWidth="1"/>
    <x:col min="8" max="8" width="20.6640625" customWidth="1"/>
    <x:col min="9" max="9" width="14.83203125" customWidth="1"/>
    <x:col min="10" max="10" width="15.9140625" customWidth="1"/>
    <x:col min="11" max="11" width="13.5" customWidth="1"/>
    <x:col min="12" max="12" width="19" customWidth="1"/>
  </x:cols>
  <x:sheetData>
    <x:row r="1" s="23" customFormat="1" ht="15.5" customHeight="1">
      <x:c r="A1" s="21" t="s">
        <x:v>233</x:v>
      </x:c>
      <x:c r="B1" s="12" t="s">
        <x:v>306</x:v>
      </x:c>
      <x:c r="C1" s="21" t="s">
        <x:v>307</x:v>
      </x:c>
      <x:c r="D1" s="22" t="s">
        <x:v>299</x:v>
      </x:c>
      <x:c r="E1" s="22" t="s">
        <x:v>300</x:v>
      </x:c>
      <x:c r="F1" s="21" t="s">
        <x:v>301</x:v>
      </x:c>
      <x:c r="G1" s="20" t="s">
        <x:v>302</x:v>
      </x:c>
      <x:c r="H1" s="21"/>
      <x:c r="I1" s="22"/>
      <x:c r="J1" s="22"/>
      <x:c r="K1" s="22"/>
      <x:c r="L1" s="22"/>
    </x:row>
    <x:row r="2">
      <x:c r="A2" s="6" t="s">
        <x:v>241</x:v>
      </x:c>
      <x:c r="B2" s="6" t="s">
        <x:v>238</x:v>
      </x:c>
      <x:c r="C2" s="6">
        <x:v>40</x:v>
      </x:c>
      <x:c r="D2" s="6" t="s">
        <x:v>81</x:v>
      </x:c>
      <x:c r="E2" s="6" t="s">
        <x:v>303</x:v>
      </x:c>
      <x:c r="F2" s="6">
        <x:v>8</x:v>
      </x:c>
      <x:c r="G2" s="8" t="s">
        <x:v>56</x:v>
      </x:c>
      <x:c r="H2" s="6"/>
      <x:c r="L2" s="10"/>
    </x:row>
    <x:row r="3">
      <x:c r="A3" s="6" t="s">
        <x:v>308</x:v>
      </x:c>
      <x:c r="B3" s="6" t="s">
        <x:v>238</x:v>
      </x:c>
      <x:c r="C3" s="6">
        <x:v>25</x:v>
      </x:c>
      <x:c r="D3" s="6" t="s">
        <x:v>82</x:v>
      </x:c>
      <x:c r="E3" s="6" t="s">
        <x:v>303</x:v>
      </x:c>
      <x:c r="F3" s="6">
        <x:v>0.3</x:v>
      </x:c>
      <x:c r="G3" s="8" t="s">
        <x:v>56</x:v>
      </x:c>
      <x:c r="H3" s="6"/>
      <x:c r="L3" s="10"/>
    </x:row>
    <x:row r="4">
      <x:c r="A4" s="6" t="s">
        <x:v>309</x:v>
      </x:c>
      <x:c r="B4" s="6" t="s">
        <x:v>238</x:v>
      </x:c>
      <x:c r="C4" s="6">
        <x:v>20</x:v>
      </x:c>
      <x:c r="D4" s="6" t="s">
        <x:v>81</x:v>
      </x:c>
      <x:c r="E4" s="6" t="s">
        <x:v>303</x:v>
      </x:c>
      <x:c r="F4" s="6">
        <x:v>10</x:v>
      </x:c>
      <x:c r="G4" s="8" t="s">
        <x:v>66</x:v>
      </x:c>
      <x:c r="H4" s="6"/>
      <x:c r="L4" s="10"/>
    </x:row>
    <x:row r="5">
      <x:c r="A5" s="6" t="s">
        <x:v>310</x:v>
      </x:c>
      <x:c r="B5" s="6" t="s">
        <x:v>238</x:v>
      </x:c>
      <x:c r="C5" s="6">
        <x:v>10</x:v>
      </x:c>
      <x:c r="D5" s="6" t="s">
        <x:v>81</x:v>
      </x:c>
      <x:c r="E5" s="6" t="s">
        <x:v>303</x:v>
      </x:c>
      <x:c r="F5" s="6">
        <x:v>20</x:v>
      </x:c>
      <x:c r="G5" s="8" t="s">
        <x:v>56</x:v>
      </x:c>
      <x:c r="H5" s="6"/>
      <x:c r="L5" s="10"/>
    </x:row>
    <x:row r="6">
      <x:c r="A6" s="6" t="s">
        <x:v>311</x:v>
      </x:c>
      <x:c r="B6" s="6" t="s">
        <x:v>238</x:v>
      </x:c>
      <x:c r="C6" s="6">
        <x:v>5</x:v>
      </x:c>
      <x:c r="D6" s="6" t="s">
        <x:v>305</x:v>
      </x:c>
      <x:c r="E6" s="6" t="s">
        <x:v>303</x:v>
      </x:c>
      <x:c r="F6" s="15">
        <x:v>0.03</x:v>
      </x:c>
      <x:c r="G6" s="8" t="s">
        <x:v>56</x:v>
      </x:c>
      <x:c r="H6" s="6"/>
      <x:c r="L6" s="10"/>
    </x:row>
    <x:row r="7">
      <x:c r="A7" s="6" t="s">
        <x:v>246</x:v>
      </x:c>
      <x:c r="B7" s="6" t="s">
        <x:v>243</x:v>
      </x:c>
      <x:c r="C7" s="6">
        <x:v>35</x:v>
      </x:c>
      <x:c r="D7" s="6" t="s">
        <x:v>82</x:v>
      </x:c>
      <x:c r="E7" s="6" t="s">
        <x:v>303</x:v>
      </x:c>
      <x:c r="F7" s="6">
        <x:v>0.3</x:v>
      </x:c>
      <x:c r="G7" s="8" t="s">
        <x:v>66</x:v>
      </x:c>
      <x:c r="H7" s="6"/>
      <x:c r="L7" s="10"/>
    </x:row>
    <x:row r="8">
      <x:c r="A8" s="6" t="s">
        <x:v>312</x:v>
      </x:c>
      <x:c r="B8" s="6" t="s">
        <x:v>243</x:v>
      </x:c>
      <x:c r="C8" s="6">
        <x:v>30</x:v>
      </x:c>
      <x:c r="D8" s="6" t="s">
        <x:v>81</x:v>
      </x:c>
      <x:c r="E8" s="6" t="s">
        <x:v>303</x:v>
      </x:c>
      <x:c r="F8" s="6">
        <x:v>8</x:v>
      </x:c>
      <x:c r="G8" s="8" t="s">
        <x:v>56</x:v>
      </x:c>
      <x:c r="H8" s="6"/>
      <x:c r="L8" s="10"/>
    </x:row>
    <x:row r="9">
      <x:c r="A9" s="6" t="s">
        <x:v>313</x:v>
      </x:c>
      <x:c r="B9" s="6" t="s">
        <x:v>243</x:v>
      </x:c>
      <x:c r="C9" s="6">
        <x:v>20</x:v>
      </x:c>
      <x:c r="D9" s="6" t="s">
        <x:v>81</x:v>
      </x:c>
      <x:c r="E9" s="6" t="s">
        <x:v>303</x:v>
      </x:c>
      <x:c r="F9" s="6">
        <x:v>12</x:v>
      </x:c>
      <x:c r="G9" s="8" t="s">
        <x:v>66</x:v>
      </x:c>
      <x:c r="H9" s="15"/>
      <x:c r="L9" s="10"/>
    </x:row>
    <x:row r="10">
      <x:c r="A10" s="6" t="s">
        <x:v>314</x:v>
      </x:c>
      <x:c r="B10" s="6" t="s">
        <x:v>243</x:v>
      </x:c>
      <x:c r="C10" s="6">
        <x:v>10</x:v>
      </x:c>
      <x:c r="D10" s="6" t="s">
        <x:v>81</x:v>
      </x:c>
      <x:c r="E10" s="6" t="s">
        <x:v>303</x:v>
      </x:c>
      <x:c r="F10" s="6">
        <x:v>15</x:v>
      </x:c>
      <x:c r="G10" s="8" t="s">
        <x:v>74</x:v>
      </x:c>
    </x:row>
    <x:row r="11">
      <x:c r="A11" s="6" t="s">
        <x:v>315</x:v>
      </x:c>
      <x:c r="B11" s="6" t="s">
        <x:v>243</x:v>
      </x:c>
      <x:c r="C11" s="6">
        <x:v>5</x:v>
      </x:c>
      <x:c r="D11" s="6" t="s">
        <x:v>305</x:v>
      </x:c>
      <x:c r="E11" s="6" t="s">
        <x:v>303</x:v>
      </x:c>
      <x:c r="F11" s="15">
        <x:v>0.03</x:v>
      </x:c>
      <x:c r="G11" s="8" t="s">
        <x:v>56</x:v>
      </x:c>
    </x:row>
    <x:row r="12">
      <x:c r="A12" s="6" t="s">
        <x:v>251</x:v>
      </x:c>
      <x:c r="B12" s="6" t="s">
        <x:v>248</x:v>
      </x:c>
      <x:c r="C12" s="6">
        <x:v>40</x:v>
      </x:c>
      <x:c r="D12" s="6" t="s">
        <x:v>81</x:v>
      </x:c>
      <x:c r="E12" s="6" t="s">
        <x:v>303</x:v>
      </x:c>
      <x:c r="F12" s="6">
        <x:v>15</x:v>
      </x:c>
      <x:c r="G12" s="8" t="s">
        <x:v>66</x:v>
      </x:c>
    </x:row>
    <x:row r="13">
      <x:c r="A13" s="6" t="s">
        <x:v>316</x:v>
      </x:c>
      <x:c r="B13" s="6" t="s">
        <x:v>248</x:v>
      </x:c>
      <x:c r="C13" s="6">
        <x:v>25</x:v>
      </x:c>
      <x:c r="D13" s="6" t="s">
        <x:v>82</x:v>
      </x:c>
      <x:c r="E13" s="6" t="s">
        <x:v>303</x:v>
      </x:c>
      <x:c r="F13" s="6">
        <x:v>0.5</x:v>
      </x:c>
      <x:c r="G13" s="8" t="s">
        <x:v>74</x:v>
      </x:c>
    </x:row>
    <x:row r="14">
      <x:c r="A14" s="6" t="s">
        <x:v>317</x:v>
      </x:c>
      <x:c r="B14" s="6" t="s">
        <x:v>248</x:v>
      </x:c>
      <x:c r="C14" s="6">
        <x:v>15</x:v>
      </x:c>
      <x:c r="D14" s="6" t="s">
        <x:v>305</x:v>
      </x:c>
      <x:c r="E14" s="6" t="s">
        <x:v>303</x:v>
      </x:c>
      <x:c r="F14" s="17">
        <x:v>0.03</x:v>
      </x:c>
      <x:c r="G14" s="8" t="s">
        <x:v>56</x:v>
      </x:c>
    </x:row>
    <x:row r="15">
      <x:c r="A15" s="6" t="s">
        <x:v>318</x:v>
      </x:c>
      <x:c r="B15" s="6" t="s">
        <x:v>248</x:v>
      </x:c>
      <x:c r="C15" s="6">
        <x:v>10</x:v>
      </x:c>
      <x:c r="D15" s="6" t="s">
        <x:v>319</x:v>
      </x:c>
      <x:c r="E15" s="6" t="s">
        <x:v>303</x:v>
      </x:c>
      <x:c r="F15" s="6">
        <x:v>1</x:v>
      </x:c>
      <x:c r="G15" s="8" t="s">
        <x:v>66</x:v>
      </x:c>
    </x:row>
    <x:row r="16">
      <x:c r="A16" s="6" t="s">
        <x:v>320</x:v>
      </x:c>
      <x:c r="B16" s="6" t="s">
        <x:v>248</x:v>
      </x:c>
      <x:c r="C16" s="6">
        <x:v>10</x:v>
      </x:c>
      <x:c r="D16" s="6" t="s">
        <x:v>50</x:v>
      </x:c>
      <x:c r="E16" s="6" t="s">
        <x:v>303</x:v>
      </x:c>
      <x:c r="F16" s="6">
        <x:v>5</x:v>
      </x:c>
      <x:c r="G16" s="8" t="s">
        <x:v>74</x:v>
      </x:c>
    </x:row>
    <x:row r="17">
      <x:c r="A17" s="6" t="s">
        <x:v>256</x:v>
      </x:c>
      <x:c r="B17" s="6" t="s">
        <x:v>253</x:v>
      </x:c>
      <x:c r="C17" s="6">
        <x:v>35</x:v>
      </x:c>
      <x:c r="D17" s="6" t="s">
        <x:v>81</x:v>
      </x:c>
      <x:c r="E17" s="6" t="s">
        <x:v>303</x:v>
      </x:c>
      <x:c r="F17" s="6">
        <x:v>10</x:v>
      </x:c>
      <x:c r="G17" s="8" t="s">
        <x:v>56</x:v>
      </x:c>
    </x:row>
    <x:row r="18">
      <x:c r="A18" s="6" t="s">
        <x:v>321</x:v>
      </x:c>
      <x:c r="B18" s="6" t="s">
        <x:v>253</x:v>
      </x:c>
      <x:c r="C18" s="6">
        <x:v>25</x:v>
      </x:c>
      <x:c r="D18" s="6" t="s">
        <x:v>290</x:v>
      </x:c>
      <x:c r="E18" s="6" t="s">
        <x:v>303</x:v>
      </x:c>
      <x:c r="F18" s="6">
        <x:v>1</x:v>
      </x:c>
      <x:c r="G18" s="8" t="s">
        <x:v>66</x:v>
      </x:c>
    </x:row>
    <x:row r="19">
      <x:c r="A19" s="6" t="s">
        <x:v>322</x:v>
      </x:c>
      <x:c r="B19" s="6" t="s">
        <x:v>253</x:v>
      </x:c>
      <x:c r="C19" s="6">
        <x:v>20</x:v>
      </x:c>
      <x:c r="D19" s="6" t="s">
        <x:v>82</x:v>
      </x:c>
      <x:c r="E19" s="6" t="s">
        <x:v>303</x:v>
      </x:c>
      <x:c r="F19" s="6">
        <x:v>0.3</x:v>
      </x:c>
      <x:c r="G19" s="8" t="s">
        <x:v>74</x:v>
      </x:c>
    </x:row>
    <x:row r="20">
      <x:c r="A20" s="6" t="s">
        <x:v>323</x:v>
      </x:c>
      <x:c r="B20" s="6" t="s">
        <x:v>253</x:v>
      </x:c>
      <x:c r="C20" s="6">
        <x:v>10</x:v>
      </x:c>
      <x:c r="D20" s="6" t="s">
        <x:v>319</x:v>
      </x:c>
      <x:c r="E20" s="6" t="s">
        <x:v>303</x:v>
      </x:c>
      <x:c r="F20" s="6">
        <x:v>1</x:v>
      </x:c>
      <x:c r="G20" s="8" t="s">
        <x:v>56</x:v>
      </x:c>
    </x:row>
    <x:row r="21">
      <x:c r="A21" s="6" t="s">
        <x:v>324</x:v>
      </x:c>
      <x:c r="B21" s="6" t="s">
        <x:v>253</x:v>
      </x:c>
      <x:c r="C21" s="6">
        <x:v>10</x:v>
      </x:c>
      <x:c r="D21" s="6" t="s">
        <x:v>50</x:v>
      </x:c>
      <x:c r="E21" s="6" t="s">
        <x:v>303</x:v>
      </x:c>
      <x:c r="F21" s="6">
        <x:v>5</x:v>
      </x:c>
      <x:c r="G21" s="8" t="s">
        <x:v>66</x:v>
      </x:c>
    </x:row>
    <x:row r="22">
      <x:c r="A22" s="6" t="s">
        <x:v>261</x:v>
      </x:c>
      <x:c r="B22" s="6" t="s">
        <x:v>258</x:v>
      </x:c>
      <x:c r="C22" s="6">
        <x:v>35</x:v>
      </x:c>
      <x:c r="D22" s="6" t="s">
        <x:v>82</x:v>
      </x:c>
      <x:c r="E22" s="6" t="s">
        <x:v>303</x:v>
      </x:c>
      <x:c r="F22" s="6">
        <x:v>0.5</x:v>
      </x:c>
      <x:c r="G22" s="8" t="s">
        <x:v>74</x:v>
      </x:c>
    </x:row>
    <x:row r="23">
      <x:c r="A23" s="6" t="s">
        <x:v>325</x:v>
      </x:c>
      <x:c r="B23" s="6" t="s">
        <x:v>258</x:v>
      </x:c>
      <x:c r="C23" s="6">
        <x:v>25</x:v>
      </x:c>
      <x:c r="D23" s="6" t="s">
        <x:v>81</x:v>
      </x:c>
      <x:c r="E23" s="6" t="s">
        <x:v>303</x:v>
      </x:c>
      <x:c r="F23" s="6">
        <x:v>15</x:v>
      </x:c>
      <x:c r="G23" s="8" t="s">
        <x:v>56</x:v>
      </x:c>
    </x:row>
    <x:row r="24">
      <x:c r="A24" s="6" t="s">
        <x:v>326</x:v>
      </x:c>
      <x:c r="B24" s="6" t="s">
        <x:v>258</x:v>
      </x:c>
      <x:c r="C24" s="6">
        <x:v>15</x:v>
      </x:c>
      <x:c r="D24" s="6" t="s">
        <x:v>290</x:v>
      </x:c>
      <x:c r="E24" s="6" t="s">
        <x:v>303</x:v>
      </x:c>
      <x:c r="F24" s="6">
        <x:v>1</x:v>
      </x:c>
      <x:c r="G24" s="8" t="s">
        <x:v>66</x:v>
      </x:c>
    </x:row>
    <x:row r="25">
      <x:c r="A25" s="6" t="s">
        <x:v>327</x:v>
      </x:c>
      <x:c r="B25" s="6" t="s">
        <x:v>258</x:v>
      </x:c>
      <x:c r="C25" s="6">
        <x:v>15</x:v>
      </x:c>
      <x:c r="D25" s="6" t="s">
        <x:v>305</x:v>
      </x:c>
      <x:c r="E25" s="6" t="s">
        <x:v>303</x:v>
      </x:c>
      <x:c r="F25" s="17">
        <x:v>0.03</x:v>
      </x:c>
      <x:c r="G25" s="8" t="s">
        <x:v>74</x:v>
      </x:c>
    </x:row>
    <x:row r="26">
      <x:c r="A26" s="6" t="s">
        <x:v>328</x:v>
      </x:c>
      <x:c r="B26" s="6" t="s">
        <x:v>258</x:v>
      </x:c>
      <x:c r="C26" s="6">
        <x:v>10</x:v>
      </x:c>
      <x:c r="D26" s="6" t="s">
        <x:v>319</x:v>
      </x:c>
      <x:c r="E26" s="6" t="s">
        <x:v>303</x:v>
      </x:c>
      <x:c r="F26" s="6">
        <x:v>1</x:v>
      </x:c>
      <x:c r="G26" s="8" t="s">
        <x:v>66</x:v>
      </x:c>
    </x:row>
    <x:row r="27">
      <x:c r="A27" s="6" t="s">
        <x:v>266</x:v>
      </x:c>
      <x:c r="B27" s="6" t="s">
        <x:v>263</x:v>
      </x:c>
      <x:c r="C27" s="6">
        <x:v>35</x:v>
      </x:c>
      <x:c r="D27" s="6" t="s">
        <x:v>81</x:v>
      </x:c>
      <x:c r="E27" s="6" t="s">
        <x:v>303</x:v>
      </x:c>
      <x:c r="F27" s="6">
        <x:v>10</x:v>
      </x:c>
      <x:c r="G27" s="8" t="s">
        <x:v>56</x:v>
      </x:c>
    </x:row>
    <x:row r="28">
      <x:c r="A28" s="6" t="s">
        <x:v>329</x:v>
      </x:c>
      <x:c r="B28" s="6" t="s">
        <x:v>263</x:v>
      </x:c>
      <x:c r="C28" s="6">
        <x:v>25</x:v>
      </x:c>
      <x:c r="D28" s="6" t="s">
        <x:v>82</x:v>
      </x:c>
      <x:c r="E28" s="6" t="s">
        <x:v>303</x:v>
      </x:c>
      <x:c r="F28" s="6">
        <x:v>0.3</x:v>
      </x:c>
      <x:c r="G28" s="8" t="s">
        <x:v>66</x:v>
      </x:c>
    </x:row>
    <x:row r="29">
      <x:c r="A29" s="6" t="s">
        <x:v>330</x:v>
      </x:c>
      <x:c r="B29" s="6" t="s">
        <x:v>263</x:v>
      </x:c>
      <x:c r="C29" s="6">
        <x:v>15</x:v>
      </x:c>
      <x:c r="D29" s="6" t="s">
        <x:v>319</x:v>
      </x:c>
      <x:c r="E29" s="6" t="s">
        <x:v>303</x:v>
      </x:c>
      <x:c r="F29">
        <x:v>1</x:v>
      </x:c>
      <x:c r="G29" s="8" t="s">
        <x:v>66</x:v>
      </x:c>
    </x:row>
    <x:row r="30">
      <x:c r="A30" s="6" t="s">
        <x:v>331</x:v>
      </x:c>
      <x:c r="B30" s="6" t="s">
        <x:v>263</x:v>
      </x:c>
      <x:c r="C30" s="6">
        <x:v>15</x:v>
      </x:c>
      <x:c r="D30" s="6" t="s">
        <x:v>305</x:v>
      </x:c>
      <x:c r="E30" s="6" t="s">
        <x:v>303</x:v>
      </x:c>
      <x:c r="F30" s="19">
        <x:v>0.03</x:v>
      </x:c>
      <x:c r="G30" s="8" t="s">
        <x:v>66</x:v>
      </x:c>
    </x:row>
    <x:row r="31">
      <x:c r="A31" s="6" t="s">
        <x:v>332</x:v>
      </x:c>
      <x:c r="B31" s="6" t="s">
        <x:v>263</x:v>
      </x:c>
      <x:c r="C31" s="6">
        <x:v>10</x:v>
      </x:c>
      <x:c r="D31" s="6" t="s">
        <x:v>50</x:v>
      </x:c>
      <x:c r="E31" s="6" t="s">
        <x:v>303</x:v>
      </x:c>
      <x:c r="F31">
        <x:v>5</x:v>
      </x:c>
      <x:c r="G31" s="8" t="s">
        <x:v>74</x:v>
      </x:c>
    </x:row>
    <x:row r="32">
      <x:c r="A32" s="6" t="s">
        <x:v>271</x:v>
      </x:c>
      <x:c r="B32" s="6" t="s">
        <x:v>268</x:v>
      </x:c>
      <x:c r="C32" s="6">
        <x:v>40</x:v>
      </x:c>
      <x:c r="D32" s="6" t="s">
        <x:v>81</x:v>
      </x:c>
      <x:c r="E32" s="6" t="s">
        <x:v>303</x:v>
      </x:c>
      <x:c r="F32">
        <x:v>8</x:v>
      </x:c>
      <x:c r="G32" s="8" t="s">
        <x:v>56</x:v>
      </x:c>
    </x:row>
    <x:row r="33">
      <x:c r="A33" s="6" t="s">
        <x:v>333</x:v>
      </x:c>
      <x:c r="B33" s="6" t="s">
        <x:v>268</x:v>
      </x:c>
      <x:c r="C33" s="6">
        <x:v>25</x:v>
      </x:c>
      <x:c r="D33" s="6" t="s">
        <x:v>82</x:v>
      </x:c>
      <x:c r="E33" s="6" t="s">
        <x:v>303</x:v>
      </x:c>
      <x:c r="F33">
        <x:v>0.3</x:v>
      </x:c>
      <x:c r="G33" s="8" t="s">
        <x:v>56</x:v>
      </x:c>
    </x:row>
    <x:row r="34">
      <x:c r="A34" s="6" t="s">
        <x:v>334</x:v>
      </x:c>
      <x:c r="B34" s="6" t="s">
        <x:v>268</x:v>
      </x:c>
      <x:c r="C34" s="6">
        <x:v>15</x:v>
      </x:c>
      <x:c r="D34" s="6" t="s">
        <x:v>319</x:v>
      </x:c>
      <x:c r="E34" s="6" t="s">
        <x:v>303</x:v>
      </x:c>
      <x:c r="F34">
        <x:v>1</x:v>
      </x:c>
      <x:c r="G34" s="8" t="s">
        <x:v>66</x:v>
      </x:c>
    </x:row>
    <x:row r="35">
      <x:c r="A35" s="6" t="s">
        <x:v>335</x:v>
      </x:c>
      <x:c r="B35" s="6" t="s">
        <x:v>268</x:v>
      </x:c>
      <x:c r="C35" s="6">
        <x:v>10</x:v>
      </x:c>
      <x:c r="D35" s="6" t="s">
        <x:v>305</x:v>
      </x:c>
      <x:c r="E35" s="6" t="s">
        <x:v>303</x:v>
      </x:c>
      <x:c r="F35" s="19">
        <x:v>0.03</x:v>
      </x:c>
      <x:c r="G35" s="8" t="s">
        <x:v>66</x:v>
      </x:c>
    </x:row>
    <x:row r="36">
      <x:c r="A36" s="6" t="s">
        <x:v>336</x:v>
      </x:c>
      <x:c r="B36" s="6" t="s">
        <x:v>268</x:v>
      </x:c>
      <x:c r="C36" s="6">
        <x:v>10</x:v>
      </x:c>
      <x:c r="D36" s="6" t="s">
        <x:v>50</x:v>
      </x:c>
      <x:c r="E36" s="6" t="s">
        <x:v>303</x:v>
      </x:c>
      <x:c r="F36">
        <x:v>5</x:v>
      </x:c>
      <x:c r="G36" s="8" t="s">
        <x:v>66</x:v>
      </x:c>
    </x:row>
    <x:row r="37">
      <x:c r="A37" s="6" t="s">
        <x:v>276</x:v>
      </x:c>
      <x:c r="B37" s="6" t="s">
        <x:v>273</x:v>
      </x:c>
      <x:c r="C37" s="6">
        <x:v>35</x:v>
      </x:c>
      <x:c r="D37" s="6" t="s">
        <x:v>305</x:v>
      </x:c>
      <x:c r="E37" s="6" t="s">
        <x:v>303</x:v>
      </x:c>
      <x:c r="F37" s="19">
        <x:v>0.03</x:v>
      </x:c>
      <x:c r="G37" s="8" t="s">
        <x:v>56</x:v>
      </x:c>
    </x:row>
    <x:row r="38">
      <x:c r="A38" s="6" t="s">
        <x:v>337</x:v>
      </x:c>
      <x:c r="B38" s="6" t="s">
        <x:v>273</x:v>
      </x:c>
      <x:c r="C38" s="6">
        <x:v>25</x:v>
      </x:c>
      <x:c r="D38" s="6" t="s">
        <x:v>82</x:v>
      </x:c>
      <x:c r="E38" s="6" t="s">
        <x:v>303</x:v>
      </x:c>
      <x:c r="F38">
        <x:v>0.5</x:v>
      </x:c>
      <x:c r="G38" s="8" t="s">
        <x:v>56</x:v>
      </x:c>
    </x:row>
    <x:row r="39">
      <x:c r="A39" s="6" t="s">
        <x:v>338</x:v>
      </x:c>
      <x:c r="B39" s="6" t="s">
        <x:v>273</x:v>
      </x:c>
      <x:c r="C39" s="6">
        <x:v>20</x:v>
      </x:c>
      <x:c r="D39" s="6" t="s">
        <x:v>81</x:v>
      </x:c>
      <x:c r="E39" s="6" t="s">
        <x:v>303</x:v>
      </x:c>
      <x:c r="F39" s="19">
        <x:v>0.2</x:v>
      </x:c>
      <x:c r="G39" s="8" t="s">
        <x:v>66</x:v>
      </x:c>
    </x:row>
    <x:row r="40">
      <x:c r="A40" s="6" t="s">
        <x:v>339</x:v>
      </x:c>
      <x:c r="B40" s="6" t="s">
        <x:v>273</x:v>
      </x:c>
      <x:c r="C40" s="6">
        <x:v>10</x:v>
      </x:c>
      <x:c r="D40" s="6" t="s">
        <x:v>319</x:v>
      </x:c>
      <x:c r="E40" s="6" t="s">
        <x:v>303</x:v>
      </x:c>
      <x:c r="F40">
        <x:v>1</x:v>
      </x:c>
      <x:c r="G40" s="8" t="s">
        <x:v>66</x:v>
      </x:c>
    </x:row>
    <x:row r="41">
      <x:c r="A41" s="6" t="s">
        <x:v>340</x:v>
      </x:c>
      <x:c r="B41" s="6" t="s">
        <x:v>273</x:v>
      </x:c>
      <x:c r="C41" s="6">
        <x:v>10</x:v>
      </x:c>
      <x:c r="D41" s="6" t="s">
        <x:v>50</x:v>
      </x:c>
      <x:c r="E41" s="6" t="s">
        <x:v>303</x:v>
      </x:c>
      <x:c r="F41" s="19">
        <x:v>0.08</x:v>
      </x:c>
      <x:c r="G41" s="8" t="s">
        <x:v>66</x:v>
      </x:c>
    </x:row>
    <x:row r="42">
      <x:c r="A42" s="6"/>
    </x:row>
    <x:row r="43">
      <x:c r="A43" s="6"/>
    </x:row>
    <x:row r="44">
      <x:c r="A44" s="6"/>
    </x:row>
    <x:row r="45">
      <x:c r="A45" s="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"/>
  <x:cols>
    <x:col min="1" max="1" width="19.25" customWidth="1"/>
    <x:col min="2" max="2" width="15.25" customWidth="1"/>
    <x:col min="3" max="3" width="10.4140625" customWidth="1"/>
    <x:col min="4" max="4" width="8.58203125" style="1" customWidth="1"/>
    <x:col min="5" max="5" width="15.75" style="1" customWidth="1"/>
    <x:col min="6" max="6" width="13" customWidth="1"/>
    <x:col min="7" max="7" width="12.4140625" customWidth="1"/>
    <x:col min="8" max="8" width="13.33203125" customWidth="1"/>
    <x:col min="9" max="9" width="30.83203125" customWidth="1"/>
  </x:cols>
  <x:sheetData>
    <x:row r="1" s="2" customFormat="1">
      <x:c r="A1" s="27" t="s">
        <x:v>341</x:v>
      </x:c>
      <x:c r="B1" s="27" t="s">
        <x:v>342</x:v>
      </x:c>
      <x:c r="C1" s="27" t="s">
        <x:v>343</x:v>
      </x:c>
      <x:c r="D1" s="27" t="s">
        <x:v>344</x:v>
      </x:c>
      <x:c r="E1" s="27" t="s">
        <x:v>345</x:v>
      </x:c>
      <x:c r="F1" s="2" t="s">
        <x:v>346</x:v>
      </x:c>
      <x:c r="G1" s="2" t="s">
        <x:v>347</x:v>
      </x:c>
      <x:c r="H1" s="2" t="s">
        <x:v>348</x:v>
      </x:c>
      <x:c r="I1" s="27"/>
    </x:row>
    <x:row r="2">
      <x:c r="A2" s="18" t="s">
        <x:v>349</x:v>
      </x:c>
      <x:c r="B2" s="6" t="s">
        <x:v>116</x:v>
      </x:c>
      <x:c r="C2" s="18" t="s">
        <x:v>350</x:v>
      </x:c>
      <x:c r="D2" s="18">
        <x:v>2</x:v>
      </x:c>
      <x:c r="E2" s="18">
        <x:v>1</x:v>
      </x:c>
      <x:c r="F2" s="18" t="s">
        <x:v>351</x:v>
      </x:c>
      <x:c r="G2" s="6">
        <x:v>1</x:v>
      </x:c>
      <x:c r="I2" s="6"/>
    </x:row>
    <x:row r="3">
      <x:c r="A3" s="18" t="s">
        <x:v>352</x:v>
      </x:c>
      <x:c r="B3" s="6" t="s">
        <x:v>122</x:v>
      </x:c>
      <x:c r="C3" s="18" t="s">
        <x:v>350</x:v>
      </x:c>
      <x:c r="D3" s="18">
        <x:v>2</x:v>
      </x:c>
      <x:c r="E3" s="18">
        <x:v>1</x:v>
      </x:c>
      <x:c r="F3" s="18" t="s">
        <x:v>351</x:v>
      </x:c>
      <x:c r="G3" s="6">
        <x:v>1</x:v>
      </x:c>
      <x:c r="I3" s="6"/>
    </x:row>
    <x:row r="4">
      <x:c r="A4" s="18" t="s">
        <x:v>353</x:v>
      </x:c>
      <x:c r="B4" s="6" t="s">
        <x:v>124</x:v>
      </x:c>
      <x:c r="C4" s="18" t="s">
        <x:v>350</x:v>
      </x:c>
      <x:c r="D4" s="18">
        <x:v>2</x:v>
      </x:c>
      <x:c r="E4" s="18">
        <x:v>1</x:v>
      </x:c>
      <x:c r="F4" s="18" t="s">
        <x:v>351</x:v>
      </x:c>
      <x:c r="G4" s="6">
        <x:v>1</x:v>
      </x:c>
      <x:c r="I4" s="6"/>
    </x:row>
    <x:row r="5">
      <x:c r="A5" s="18" t="s">
        <x:v>354</x:v>
      </x:c>
      <x:c r="B5" s="6" t="s">
        <x:v>126</x:v>
      </x:c>
      <x:c r="C5" s="18" t="s">
        <x:v>350</x:v>
      </x:c>
      <x:c r="D5" s="18">
        <x:v>2</x:v>
      </x:c>
      <x:c r="E5" s="18">
        <x:v>1</x:v>
      </x:c>
      <x:c r="F5" s="18" t="s">
        <x:v>351</x:v>
      </x:c>
      <x:c r="G5" s="6">
        <x:v>1</x:v>
      </x:c>
      <x:c r="I5" s="6"/>
    </x:row>
    <x:row r="6">
      <x:c r="A6" s="18" t="s">
        <x:v>355</x:v>
      </x:c>
      <x:c r="B6" s="6" t="s">
        <x:v>128</x:v>
      </x:c>
      <x:c r="C6" s="18" t="s">
        <x:v>350</x:v>
      </x:c>
      <x:c r="D6" s="18">
        <x:v>2</x:v>
      </x:c>
      <x:c r="E6" s="18">
        <x:v>1</x:v>
      </x:c>
      <x:c r="F6" s="18" t="s">
        <x:v>351</x:v>
      </x:c>
      <x:c r="G6" s="6">
        <x:v>1</x:v>
      </x:c>
      <x:c r="I6" s="6"/>
    </x:row>
    <x:row r="7">
      <x:c r="A7" s="18" t="s">
        <x:v>356</x:v>
      </x:c>
      <x:c r="B7" s="6" t="s">
        <x:v>130</x:v>
      </x:c>
      <x:c r="C7" s="18" t="s">
        <x:v>350</x:v>
      </x:c>
      <x:c r="D7" s="18">
        <x:v>2</x:v>
      </x:c>
      <x:c r="E7" s="18">
        <x:v>1</x:v>
      </x:c>
      <x:c r="F7" s="18" t="s">
        <x:v>351</x:v>
      </x:c>
      <x:c r="G7" s="6">
        <x:v>1</x:v>
      </x:c>
      <x:c r="I7" s="6"/>
    </x:row>
    <x:row r="8">
      <x:c r="A8" s="18" t="s">
        <x:v>357</x:v>
      </x:c>
      <x:c r="B8" s="6" t="s">
        <x:v>132</x:v>
      </x:c>
      <x:c r="C8" s="18" t="s">
        <x:v>350</x:v>
      </x:c>
      <x:c r="D8" s="18">
        <x:v>2</x:v>
      </x:c>
      <x:c r="E8" s="18">
        <x:v>1</x:v>
      </x:c>
      <x:c r="F8" s="18" t="s">
        <x:v>351</x:v>
      </x:c>
      <x:c r="G8" s="6">
        <x:v>1</x:v>
      </x:c>
      <x:c r="I8" s="6"/>
    </x:row>
    <x:row r="9">
      <x:c r="A9" s="18" t="s">
        <x:v>358</x:v>
      </x:c>
      <x:c r="B9" s="6" t="s">
        <x:v>134</x:v>
      </x:c>
      <x:c r="C9" s="18" t="s">
        <x:v>350</x:v>
      </x:c>
      <x:c r="D9" s="18">
        <x:v>2</x:v>
      </x:c>
      <x:c r="E9" s="18">
        <x:v>1</x:v>
      </x:c>
      <x:c r="F9" s="18" t="s">
        <x:v>351</x:v>
      </x:c>
      <x:c r="G9" s="6">
        <x:v>1</x:v>
      </x:c>
      <x:c r="I9" s="6"/>
    </x:row>
    <x:row r="10">
      <x:c r="A10" s="18" t="s">
        <x:v>359</x:v>
      </x:c>
      <x:c r="B10" s="6" t="s">
        <x:v>136</x:v>
      </x:c>
      <x:c r="C10" s="18" t="s">
        <x:v>350</x:v>
      </x:c>
      <x:c r="D10" s="18">
        <x:v>2</x:v>
      </x:c>
      <x:c r="E10" s="18">
        <x:v>1</x:v>
      </x:c>
      <x:c r="F10" s="18" t="s">
        <x:v>351</x:v>
      </x:c>
      <x:c r="G10" s="6">
        <x:v>1</x:v>
      </x:c>
      <x:c r="I10" s="6"/>
    </x:row>
    <x:row r="11">
      <x:c r="A11" s="18" t="s">
        <x:v>360</x:v>
      </x:c>
      <x:c r="B11" s="6" t="s">
        <x:v>138</x:v>
      </x:c>
      <x:c r="C11" s="18" t="s">
        <x:v>350</x:v>
      </x:c>
      <x:c r="D11" s="18">
        <x:v>2</x:v>
      </x:c>
      <x:c r="E11" s="18">
        <x:v>1</x:v>
      </x:c>
      <x:c r="F11" s="18" t="s">
        <x:v>351</x:v>
      </x:c>
      <x:c r="G11" s="6">
        <x:v>1</x:v>
      </x:c>
      <x:c r="I11" s="6"/>
    </x:row>
    <x:row r="12">
      <x:c r="A12" s="18" t="s">
        <x:v>361</x:v>
      </x:c>
      <x:c r="B12" s="6" t="s">
        <x:v>140</x:v>
      </x:c>
      <x:c r="C12" s="18" t="s">
        <x:v>350</x:v>
      </x:c>
      <x:c r="D12" s="18">
        <x:v>2</x:v>
      </x:c>
      <x:c r="E12" s="18">
        <x:v>1</x:v>
      </x:c>
      <x:c r="F12" s="18" t="s">
        <x:v>351</x:v>
      </x:c>
      <x:c r="G12" s="6">
        <x:v>1</x:v>
      </x:c>
      <x:c r="I12" s="6"/>
    </x:row>
    <x:row r="13">
      <x:c r="A13" s="18" t="s">
        <x:v>362</x:v>
      </x:c>
      <x:c r="B13" s="6" t="s">
        <x:v>143</x:v>
      </x:c>
      <x:c r="C13" s="18" t="s">
        <x:v>350</x:v>
      </x:c>
      <x:c r="D13" s="18">
        <x:v>2</x:v>
      </x:c>
      <x:c r="E13" s="18">
        <x:v>1</x:v>
      </x:c>
      <x:c r="F13" s="18" t="s">
        <x:v>351</x:v>
      </x:c>
      <x:c r="G13" s="6">
        <x:v>1</x:v>
      </x:c>
      <x:c r="I13" s="6"/>
    </x:row>
    <x:row r="14">
      <x:c r="A14" s="18" t="s">
        <x:v>363</x:v>
      </x:c>
      <x:c r="B14" s="6" t="s">
        <x:v>146</x:v>
      </x:c>
      <x:c r="C14" s="18" t="s">
        <x:v>350</x:v>
      </x:c>
      <x:c r="D14" s="18">
        <x:v>2</x:v>
      </x:c>
      <x:c r="E14" s="18">
        <x:v>1</x:v>
      </x:c>
      <x:c r="F14" s="18" t="s">
        <x:v>351</x:v>
      </x:c>
      <x:c r="G14" s="6">
        <x:v>1</x:v>
      </x:c>
      <x:c r="I14" s="6"/>
    </x:row>
    <x:row r="15">
      <x:c r="A15" s="18" t="s">
        <x:v>364</x:v>
      </x:c>
      <x:c r="B15" s="6" t="s">
        <x:v>149</x:v>
      </x:c>
      <x:c r="C15" s="18" t="s">
        <x:v>350</x:v>
      </x:c>
      <x:c r="D15" s="18">
        <x:v>2</x:v>
      </x:c>
      <x:c r="E15" s="18">
        <x:v>1</x:v>
      </x:c>
      <x:c r="F15" s="18" t="s">
        <x:v>351</x:v>
      </x:c>
      <x:c r="G15" s="6">
        <x:v>1</x:v>
      </x:c>
      <x:c r="I15" s="6"/>
    </x:row>
    <x:row r="16">
      <x:c r="A16" s="18" t="s">
        <x:v>365</x:v>
      </x:c>
      <x:c r="B16" s="6" t="s">
        <x:v>152</x:v>
      </x:c>
      <x:c r="C16" s="18" t="s">
        <x:v>350</x:v>
      </x:c>
      <x:c r="D16" s="18">
        <x:v>2</x:v>
      </x:c>
      <x:c r="E16" s="18">
        <x:v>1</x:v>
      </x:c>
      <x:c r="F16" s="18" t="s">
        <x:v>351</x:v>
      </x:c>
      <x:c r="G16" s="6">
        <x:v>1</x:v>
      </x:c>
      <x:c r="I16" s="6"/>
    </x:row>
    <x:row r="17">
      <x:c r="A17" s="18" t="s">
        <x:v>366</x:v>
      </x:c>
      <x:c r="B17" s="6" t="s">
        <x:v>154</x:v>
      </x:c>
      <x:c r="C17" s="18" t="s">
        <x:v>350</x:v>
      </x:c>
      <x:c r="D17" s="18">
        <x:v>2</x:v>
      </x:c>
      <x:c r="E17" s="18">
        <x:v>1</x:v>
      </x:c>
      <x:c r="F17" s="18" t="s">
        <x:v>351</x:v>
      </x:c>
      <x:c r="G17" s="6">
        <x:v>1</x:v>
      </x:c>
      <x:c r="I17" s="6"/>
    </x:row>
    <x:row r="18">
      <x:c r="A18" s="18" t="s">
        <x:v>367</x:v>
      </x:c>
      <x:c r="B18" s="6" t="s">
        <x:v>156</x:v>
      </x:c>
      <x:c r="C18" s="18" t="s">
        <x:v>350</x:v>
      </x:c>
      <x:c r="D18" s="18">
        <x:v>2</x:v>
      </x:c>
      <x:c r="E18" s="18">
        <x:v>1</x:v>
      </x:c>
      <x:c r="F18" s="18" t="s">
        <x:v>351</x:v>
      </x:c>
      <x:c r="G18" s="6">
        <x:v>1</x:v>
      </x:c>
      <x:c r="I18" s="6"/>
    </x:row>
    <x:row r="19">
      <x:c r="A19" s="18" t="s">
        <x:v>368</x:v>
      </x:c>
      <x:c r="B19" s="6" t="s">
        <x:v>158</x:v>
      </x:c>
      <x:c r="C19" s="18" t="s">
        <x:v>350</x:v>
      </x:c>
      <x:c r="D19" s="18">
        <x:v>2</x:v>
      </x:c>
      <x:c r="E19" s="18">
        <x:v>1</x:v>
      </x:c>
      <x:c r="F19" s="18" t="s">
        <x:v>351</x:v>
      </x:c>
      <x:c r="G19" s="6">
        <x:v>1</x:v>
      </x:c>
      <x:c r="I19" s="6"/>
    </x:row>
    <x:row r="20">
      <x:c r="A20" s="18" t="s">
        <x:v>369</x:v>
      </x:c>
      <x:c r="B20" s="6" t="s">
        <x:v>160</x:v>
      </x:c>
      <x:c r="C20" s="18" t="s">
        <x:v>350</x:v>
      </x:c>
      <x:c r="D20" s="18">
        <x:v>2</x:v>
      </x:c>
      <x:c r="E20" s="18">
        <x:v>1</x:v>
      </x:c>
      <x:c r="F20" s="18" t="s">
        <x:v>351</x:v>
      </x:c>
      <x:c r="G20" s="6">
        <x:v>1</x:v>
      </x:c>
      <x:c r="I20" s="6"/>
    </x:row>
    <x:row r="21">
      <x:c r="A21" s="18" t="s">
        <x:v>370</x:v>
      </x:c>
      <x:c r="B21" s="6" t="s">
        <x:v>162</x:v>
      </x:c>
      <x:c r="C21" s="18" t="s">
        <x:v>350</x:v>
      </x:c>
      <x:c r="D21" s="18">
        <x:v>2</x:v>
      </x:c>
      <x:c r="E21" s="18">
        <x:v>1</x:v>
      </x:c>
      <x:c r="F21" s="18" t="s">
        <x:v>351</x:v>
      </x:c>
      <x:c r="G21" s="6">
        <x:v>1</x:v>
      </x:c>
      <x:c r="I21" s="6"/>
    </x:row>
    <x:row r="22">
      <x:c r="A22" s="18" t="s">
        <x:v>371</x:v>
      </x:c>
      <x:c r="B22" s="6" t="s">
        <x:v>164</x:v>
      </x:c>
      <x:c r="C22" s="18" t="s">
        <x:v>350</x:v>
      </x:c>
      <x:c r="D22" s="18">
        <x:v>2</x:v>
      </x:c>
      <x:c r="E22" s="18">
        <x:v>1</x:v>
      </x:c>
      <x:c r="F22" s="18" t="s">
        <x:v>351</x:v>
      </x:c>
      <x:c r="G22" s="6">
        <x:v>1</x:v>
      </x:c>
      <x:c r="I22" s="6"/>
    </x:row>
    <x:row r="23">
      <x:c r="A23" s="18" t="s">
        <x:v>372</x:v>
      </x:c>
      <x:c r="B23" s="6" t="s">
        <x:v>166</x:v>
      </x:c>
      <x:c r="C23" s="18" t="s">
        <x:v>350</x:v>
      </x:c>
      <x:c r="D23" s="18">
        <x:v>2</x:v>
      </x:c>
      <x:c r="E23" s="18">
        <x:v>1</x:v>
      </x:c>
      <x:c r="F23" s="18" t="s">
        <x:v>351</x:v>
      </x:c>
      <x:c r="G23" s="6">
        <x:v>1</x:v>
      </x:c>
      <x:c r="I23" s="6"/>
    </x:row>
    <x:row r="24">
      <x:c r="A24" s="18" t="s">
        <x:v>373</x:v>
      </x:c>
      <x:c r="B24" s="6" t="s">
        <x:v>168</x:v>
      </x:c>
      <x:c r="C24" s="18" t="s">
        <x:v>350</x:v>
      </x:c>
      <x:c r="D24" s="18">
        <x:v>2</x:v>
      </x:c>
      <x:c r="E24" s="18">
        <x:v>1</x:v>
      </x:c>
      <x:c r="F24" s="18" t="s">
        <x:v>351</x:v>
      </x:c>
      <x:c r="G24" s="6">
        <x:v>1</x:v>
      </x:c>
      <x:c r="I24" s="6"/>
    </x:row>
    <x:row r="25">
      <x:c r="A25" s="18" t="s">
        <x:v>374</x:v>
      </x:c>
      <x:c r="B25" s="6" t="s">
        <x:v>170</x:v>
      </x:c>
      <x:c r="C25" s="18" t="s">
        <x:v>350</x:v>
      </x:c>
      <x:c r="D25" s="18">
        <x:v>2</x:v>
      </x:c>
      <x:c r="E25" s="18">
        <x:v>1</x:v>
      </x:c>
      <x:c r="F25" s="18" t="s">
        <x:v>351</x:v>
      </x:c>
      <x:c r="G25" s="6">
        <x:v>1</x:v>
      </x:c>
      <x:c r="I25" s="6"/>
    </x:row>
    <x:row r="26">
      <x:c r="A26" s="18" t="s">
        <x:v>375</x:v>
      </x:c>
      <x:c r="B26" s="6" t="s">
        <x:v>172</x:v>
      </x:c>
      <x:c r="C26" s="18" t="s">
        <x:v>350</x:v>
      </x:c>
      <x:c r="D26" s="18">
        <x:v>2</x:v>
      </x:c>
      <x:c r="E26" s="18">
        <x:v>1</x:v>
      </x:c>
      <x:c r="F26" s="18" t="s">
        <x:v>351</x:v>
      </x:c>
      <x:c r="G26" s="6">
        <x:v>1</x:v>
      </x:c>
      <x:c r="I26" s="6"/>
    </x:row>
    <x:row r="27">
      <x:c r="A27" s="18" t="s">
        <x:v>376</x:v>
      </x:c>
      <x:c r="B27" s="6" t="s">
        <x:v>174</x:v>
      </x:c>
      <x:c r="C27" s="18" t="s">
        <x:v>350</x:v>
      </x:c>
      <x:c r="D27" s="18">
        <x:v>2</x:v>
      </x:c>
      <x:c r="E27" s="18">
        <x:v>1</x:v>
      </x:c>
      <x:c r="F27" s="18" t="s">
        <x:v>351</x:v>
      </x:c>
      <x:c r="G27" s="6">
        <x:v>1</x:v>
      </x:c>
      <x:c r="I27" s="6"/>
    </x:row>
    <x:row r="28">
      <x:c r="A28" s="18" t="s">
        <x:v>377</x:v>
      </x:c>
      <x:c r="B28" s="6" t="s">
        <x:v>176</x:v>
      </x:c>
      <x:c r="C28" s="18" t="s">
        <x:v>350</x:v>
      </x:c>
      <x:c r="D28" s="18">
        <x:v>2</x:v>
      </x:c>
      <x:c r="E28" s="18">
        <x:v>1</x:v>
      </x:c>
      <x:c r="F28" s="18" t="s">
        <x:v>351</x:v>
      </x:c>
      <x:c r="G28" s="6">
        <x:v>1</x:v>
      </x:c>
      <x:c r="I28" s="6"/>
    </x:row>
    <x:row r="29">
      <x:c r="A29" s="18" t="s">
        <x:v>378</x:v>
      </x:c>
      <x:c r="B29" s="6" t="s">
        <x:v>179</x:v>
      </x:c>
      <x:c r="C29" s="18" t="s">
        <x:v>350</x:v>
      </x:c>
      <x:c r="D29" s="18">
        <x:v>2</x:v>
      </x:c>
      <x:c r="E29" s="18">
        <x:v>1</x:v>
      </x:c>
      <x:c r="F29" s="18" t="s">
        <x:v>351</x:v>
      </x:c>
      <x:c r="G29" s="6">
        <x:v>1</x:v>
      </x:c>
      <x:c r="I29" s="6"/>
    </x:row>
    <x:row r="30">
      <x:c r="A30" s="18" t="s">
        <x:v>379</x:v>
      </x:c>
      <x:c r="B30" s="6" t="s">
        <x:v>181</x:v>
      </x:c>
      <x:c r="C30" s="18" t="s">
        <x:v>350</x:v>
      </x:c>
      <x:c r="D30" s="18">
        <x:v>2</x:v>
      </x:c>
      <x:c r="E30" s="18">
        <x:v>1</x:v>
      </x:c>
      <x:c r="F30" s="18" t="s">
        <x:v>351</x:v>
      </x:c>
      <x:c r="G30" s="6">
        <x:v>1</x:v>
      </x:c>
      <x:c r="I30" s="6"/>
    </x:row>
    <x:row r="31">
      <x:c r="A31" s="18" t="s">
        <x:v>380</x:v>
      </x:c>
      <x:c r="B31" s="6" t="s">
        <x:v>183</x:v>
      </x:c>
      <x:c r="C31" s="18" t="s">
        <x:v>350</x:v>
      </x:c>
      <x:c r="D31" s="18">
        <x:v>2</x:v>
      </x:c>
      <x:c r="E31" s="18">
        <x:v>1</x:v>
      </x:c>
      <x:c r="F31" s="18" t="s">
        <x:v>351</x:v>
      </x:c>
      <x:c r="G31" s="6">
        <x:v>1</x:v>
      </x:c>
      <x:c r="I31" s="6"/>
    </x:row>
    <x:row r="32">
      <x:c r="A32" s="18" t="s">
        <x:v>381</x:v>
      </x:c>
      <x:c r="B32" s="6" t="s">
        <x:v>185</x:v>
      </x:c>
      <x:c r="C32" s="18" t="s">
        <x:v>350</x:v>
      </x:c>
      <x:c r="D32" s="18">
        <x:v>2</x:v>
      </x:c>
      <x:c r="E32" s="18">
        <x:v>1</x:v>
      </x:c>
      <x:c r="F32" s="18" t="s">
        <x:v>351</x:v>
      </x:c>
      <x:c r="G32" s="6">
        <x:v>1</x:v>
      </x:c>
      <x:c r="I32" s="6"/>
    </x:row>
    <x:row r="33">
      <x:c r="A33" s="18" t="s">
        <x:v>382</x:v>
      </x:c>
      <x:c r="B33" s="6" t="s">
        <x:v>187</x:v>
      </x:c>
      <x:c r="C33" s="18" t="s">
        <x:v>350</x:v>
      </x:c>
      <x:c r="D33" s="18">
        <x:v>2</x:v>
      </x:c>
      <x:c r="E33" s="18">
        <x:v>1</x:v>
      </x:c>
      <x:c r="F33" s="18" t="s">
        <x:v>351</x:v>
      </x:c>
      <x:c r="G33" s="6">
        <x:v>1</x:v>
      </x:c>
      <x:c r="I33" s="6"/>
    </x:row>
    <x:row r="34">
      <x:c r="A34" s="18" t="s">
        <x:v>383</x:v>
      </x:c>
      <x:c r="B34" s="6" t="s">
        <x:v>189</x:v>
      </x:c>
      <x:c r="C34" s="18" t="s">
        <x:v>350</x:v>
      </x:c>
      <x:c r="D34" s="18">
        <x:v>2</x:v>
      </x:c>
      <x:c r="E34" s="18">
        <x:v>1</x:v>
      </x:c>
      <x:c r="F34" s="18" t="s">
        <x:v>351</x:v>
      </x:c>
      <x:c r="G34" s="6">
        <x:v>1</x:v>
      </x:c>
      <x:c r="I34" s="6"/>
    </x:row>
    <x:row r="35">
      <x:c r="A35" s="18" t="s">
        <x:v>384</x:v>
      </x:c>
      <x:c r="B35" s="6" t="s">
        <x:v>191</x:v>
      </x:c>
      <x:c r="C35" s="18" t="s">
        <x:v>350</x:v>
      </x:c>
      <x:c r="D35" s="18">
        <x:v>2</x:v>
      </x:c>
      <x:c r="E35" s="18">
        <x:v>1</x:v>
      </x:c>
      <x:c r="F35" s="18" t="s">
        <x:v>351</x:v>
      </x:c>
      <x:c r="G35" s="6">
        <x:v>1</x:v>
      </x:c>
      <x:c r="I35" s="6"/>
    </x:row>
    <x:row r="36">
      <x:c r="A36" s="18" t="s">
        <x:v>385</x:v>
      </x:c>
      <x:c r="B36" s="6" t="s">
        <x:v>193</x:v>
      </x:c>
      <x:c r="C36" s="18" t="s">
        <x:v>350</x:v>
      </x:c>
      <x:c r="D36" s="18">
        <x:v>2</x:v>
      </x:c>
      <x:c r="E36" s="18">
        <x:v>1</x:v>
      </x:c>
      <x:c r="F36" s="18" t="s">
        <x:v>351</x:v>
      </x:c>
      <x:c r="G36" s="6">
        <x:v>1</x:v>
      </x:c>
      <x:c r="I36" s="6"/>
    </x:row>
    <x:row r="37">
      <x:c r="A37" s="18" t="s">
        <x:v>386</x:v>
      </x:c>
      <x:c r="B37" s="6" t="s">
        <x:v>195</x:v>
      </x:c>
      <x:c r="C37" s="18" t="s">
        <x:v>350</x:v>
      </x:c>
      <x:c r="D37" s="18">
        <x:v>2</x:v>
      </x:c>
      <x:c r="E37" s="18">
        <x:v>1</x:v>
      </x:c>
      <x:c r="F37" s="18" t="s">
        <x:v>351</x:v>
      </x:c>
      <x:c r="G37" s="6">
        <x:v>1</x:v>
      </x:c>
      <x:c r="I37" s="6"/>
    </x:row>
    <x:row r="38">
      <x:c r="A38" s="18" t="s">
        <x:v>387</x:v>
      </x:c>
      <x:c r="B38" s="6" t="s">
        <x:v>197</x:v>
      </x:c>
      <x:c r="C38" s="18" t="s">
        <x:v>350</x:v>
      </x:c>
      <x:c r="D38" s="18">
        <x:v>2</x:v>
      </x:c>
      <x:c r="E38" s="18">
        <x:v>1</x:v>
      </x:c>
      <x:c r="F38" s="18" t="s">
        <x:v>351</x:v>
      </x:c>
      <x:c r="G38" s="6">
        <x:v>1</x:v>
      </x:c>
      <x:c r="I38" s="6"/>
    </x:row>
    <x:row r="39">
      <x:c r="A39" s="18" t="s">
        <x:v>388</x:v>
      </x:c>
      <x:c r="B39" s="6" t="s">
        <x:v>199</x:v>
      </x:c>
      <x:c r="C39" s="18" t="s">
        <x:v>350</x:v>
      </x:c>
      <x:c r="D39" s="18">
        <x:v>2</x:v>
      </x:c>
      <x:c r="E39" s="18">
        <x:v>1</x:v>
      </x:c>
      <x:c r="F39" s="18" t="s">
        <x:v>351</x:v>
      </x:c>
      <x:c r="G39" s="6">
        <x:v>1</x:v>
      </x:c>
      <x:c r="I39" s="6"/>
    </x:row>
    <x:row r="40">
      <x:c r="A40" s="18" t="s">
        <x:v>389</x:v>
      </x:c>
      <x:c r="B40" s="6" t="s">
        <x:v>201</x:v>
      </x:c>
      <x:c r="C40" s="18" t="s">
        <x:v>350</x:v>
      </x:c>
      <x:c r="D40" s="18">
        <x:v>2</x:v>
      </x:c>
      <x:c r="E40" s="18">
        <x:v>1</x:v>
      </x:c>
      <x:c r="F40" s="18" t="s">
        <x:v>351</x:v>
      </x:c>
      <x:c r="G40" s="6">
        <x:v>1</x:v>
      </x:c>
      <x:c r="I40" s="6"/>
    </x:row>
    <x:row r="41">
      <x:c r="A41" s="18" t="s">
        <x:v>390</x:v>
      </x:c>
      <x:c r="B41" s="6" t="s">
        <x:v>203</x:v>
      </x:c>
      <x:c r="C41" s="18" t="s">
        <x:v>350</x:v>
      </x:c>
      <x:c r="D41" s="18">
        <x:v>2</x:v>
      </x:c>
      <x:c r="E41" s="18">
        <x:v>1</x:v>
      </x:c>
      <x:c r="F41" s="18" t="s">
        <x:v>351</x:v>
      </x:c>
      <x:c r="G41" s="6">
        <x:v>1</x:v>
      </x:c>
      <x:c r="I41" s="6"/>
    </x:row>
    <x:row r="42">
      <x:c r="A42" s="18" t="s">
        <x:v>391</x:v>
      </x:c>
      <x:c r="B42" s="6" t="s">
        <x:v>206</x:v>
      </x:c>
      <x:c r="C42" s="18" t="s">
        <x:v>350</x:v>
      </x:c>
      <x:c r="D42" s="18">
        <x:v>2</x:v>
      </x:c>
      <x:c r="E42" s="18">
        <x:v>1</x:v>
      </x:c>
      <x:c r="F42" s="18" t="s">
        <x:v>351</x:v>
      </x:c>
      <x:c r="G42" s="6">
        <x:v>1</x:v>
      </x:c>
      <x:c r="I42" s="6"/>
    </x:row>
    <x:row r="43">
      <x:c r="A43" s="18" t="s">
        <x:v>392</x:v>
      </x:c>
      <x:c r="B43" s="6" t="s">
        <x:v>208</x:v>
      </x:c>
      <x:c r="C43" s="18" t="s">
        <x:v>350</x:v>
      </x:c>
      <x:c r="D43" s="18">
        <x:v>2</x:v>
      </x:c>
      <x:c r="E43" s="18">
        <x:v>1</x:v>
      </x:c>
      <x:c r="F43" s="18" t="s">
        <x:v>351</x:v>
      </x:c>
      <x:c r="G43" s="6">
        <x:v>1</x:v>
      </x:c>
      <x:c r="I43" s="6"/>
    </x:row>
    <x:row r="44">
      <x:c r="A44" s="18" t="s">
        <x:v>393</x:v>
      </x:c>
      <x:c r="B44" s="6" t="s">
        <x:v>210</x:v>
      </x:c>
      <x:c r="C44" s="18" t="s">
        <x:v>350</x:v>
      </x:c>
      <x:c r="D44" s="18">
        <x:v>2</x:v>
      </x:c>
      <x:c r="E44" s="18">
        <x:v>1</x:v>
      </x:c>
      <x:c r="F44" s="18" t="s">
        <x:v>351</x:v>
      </x:c>
      <x:c r="G44" s="6">
        <x:v>1</x:v>
      </x:c>
      <x:c r="I44" s="6"/>
    </x:row>
    <x:row r="45">
      <x:c r="A45" s="18" t="s">
        <x:v>394</x:v>
      </x:c>
      <x:c r="B45" s="6" t="s">
        <x:v>212</x:v>
      </x:c>
      <x:c r="C45" s="18" t="s">
        <x:v>350</x:v>
      </x:c>
      <x:c r="D45" s="18">
        <x:v>2</x:v>
      </x:c>
      <x:c r="E45" s="18">
        <x:v>1</x:v>
      </x:c>
      <x:c r="F45" s="18" t="s">
        <x:v>351</x:v>
      </x:c>
      <x:c r="G45" s="6">
        <x:v>1</x:v>
      </x:c>
      <x:c r="I45" s="6"/>
    </x:row>
    <x:row r="46">
      <x:c r="A46" s="18" t="s">
        <x:v>395</x:v>
      </x:c>
      <x:c r="B46" s="6" t="s">
        <x:v>214</x:v>
      </x:c>
      <x:c r="C46" s="18" t="s">
        <x:v>350</x:v>
      </x:c>
      <x:c r="D46" s="18">
        <x:v>2</x:v>
      </x:c>
      <x:c r="E46" s="18">
        <x:v>1</x:v>
      </x:c>
      <x:c r="F46" s="18" t="s">
        <x:v>351</x:v>
      </x:c>
      <x:c r="G46" s="6">
        <x:v>1</x:v>
      </x:c>
      <x:c r="I46" s="6"/>
    </x:row>
    <x:row r="47">
      <x:c r="A47" s="18" t="s">
        <x:v>396</x:v>
      </x:c>
      <x:c r="B47" s="6" t="s">
        <x:v>216</x:v>
      </x:c>
      <x:c r="C47" s="18" t="s">
        <x:v>350</x:v>
      </x:c>
      <x:c r="D47" s="18">
        <x:v>2</x:v>
      </x:c>
      <x:c r="E47" s="18">
        <x:v>1</x:v>
      </x:c>
      <x:c r="F47" s="18" t="s">
        <x:v>351</x:v>
      </x:c>
      <x:c r="G47" s="6">
        <x:v>1</x:v>
      </x:c>
      <x:c r="I47" s="6"/>
    </x:row>
    <x:row r="48">
      <x:c r="A48" s="18" t="s">
        <x:v>397</x:v>
      </x:c>
      <x:c r="B48" s="6" t="s">
        <x:v>218</x:v>
      </x:c>
      <x:c r="C48" s="18" t="s">
        <x:v>350</x:v>
      </x:c>
      <x:c r="D48" s="18">
        <x:v>2</x:v>
      </x:c>
      <x:c r="E48" s="18">
        <x:v>1</x:v>
      </x:c>
      <x:c r="F48" s="18" t="s">
        <x:v>351</x:v>
      </x:c>
      <x:c r="G48" s="6">
        <x:v>1</x:v>
      </x:c>
      <x:c r="I48" s="6"/>
    </x:row>
    <x:row r="49">
      <x:c r="A49" s="18" t="s">
        <x:v>398</x:v>
      </x:c>
      <x:c r="B49" s="6" t="s">
        <x:v>220</x:v>
      </x:c>
      <x:c r="C49" s="18" t="s">
        <x:v>350</x:v>
      </x:c>
      <x:c r="D49" s="18">
        <x:v>2</x:v>
      </x:c>
      <x:c r="E49" s="18">
        <x:v>1</x:v>
      </x:c>
      <x:c r="F49" s="18" t="s">
        <x:v>351</x:v>
      </x:c>
      <x:c r="G49" s="6">
        <x:v>1</x:v>
      </x:c>
      <x:c r="I49" s="6"/>
    </x:row>
    <x:row r="50">
      <x:c r="A50" s="18" t="s">
        <x:v>399</x:v>
      </x:c>
      <x:c r="B50" s="6" t="s">
        <x:v>222</x:v>
      </x:c>
      <x:c r="C50" s="18" t="s">
        <x:v>350</x:v>
      </x:c>
      <x:c r="D50" s="18">
        <x:v>2</x:v>
      </x:c>
      <x:c r="E50" s="18">
        <x:v>1</x:v>
      </x:c>
      <x:c r="F50" s="18" t="s">
        <x:v>351</x:v>
      </x:c>
      <x:c r="G50" s="6">
        <x:v>1</x:v>
      </x:c>
      <x:c r="I50" s="6"/>
    </x:row>
    <x:row r="51">
      <x:c r="A51" s="18" t="s">
        <x:v>400</x:v>
      </x:c>
      <x:c r="B51" s="6" t="s">
        <x:v>224</x:v>
      </x:c>
      <x:c r="C51" s="18" t="s">
        <x:v>350</x:v>
      </x:c>
      <x:c r="D51" s="18">
        <x:v>2</x:v>
      </x:c>
      <x:c r="E51" s="18">
        <x:v>1</x:v>
      </x:c>
      <x:c r="F51" s="18" t="s">
        <x:v>351</x:v>
      </x:c>
      <x:c r="G51" s="6">
        <x:v>1</x:v>
      </x:c>
      <x:c r="I51" s="6"/>
    </x:row>
    <x:row r="52">
      <x:c r="A52" s="18" t="s">
        <x:v>401</x:v>
      </x:c>
      <x:c r="B52" s="6" t="s">
        <x:v>226</x:v>
      </x:c>
      <x:c r="C52" s="18" t="s">
        <x:v>350</x:v>
      </x:c>
      <x:c r="D52" s="18">
        <x:v>2</x:v>
      </x:c>
      <x:c r="E52" s="18">
        <x:v>1</x:v>
      </x:c>
      <x:c r="F52" s="18" t="s">
        <x:v>351</x:v>
      </x:c>
      <x:c r="G52" s="6">
        <x:v>1</x:v>
      </x:c>
      <x:c r="I52" s="6"/>
    </x:row>
    <x:row r="53">
      <x:c r="A53" s="18" t="s">
        <x:v>402</x:v>
      </x:c>
      <x:c r="B53" s="6" t="s">
        <x:v>228</x:v>
      </x:c>
      <x:c r="C53" s="18" t="s">
        <x:v>350</x:v>
      </x:c>
      <x:c r="D53" s="18">
        <x:v>2</x:v>
      </x:c>
      <x:c r="E53" s="18">
        <x:v>1</x:v>
      </x:c>
      <x:c r="F53" s="18" t="s">
        <x:v>351</x:v>
      </x:c>
      <x:c r="G53" s="6">
        <x:v>1</x:v>
      </x:c>
      <x:c r="I53" s="6"/>
    </x:row>
    <x:row r="54">
      <x:c r="A54" s="6" t="s">
        <x:v>403</x:v>
      </x:c>
      <x:c r="B54" s="18" t="s">
        <x:v>238</x:v>
      </x:c>
      <x:c r="C54" s="18" t="s">
        <x:v>404</x:v>
      </x:c>
      <x:c r="D54" s="18">
        <x:v>30</x:v>
      </x:c>
      <x:c r="E54" s="18">
        <x:v>1</x:v>
      </x:c>
      <x:c r="F54" s="18" t="s">
        <x:v>405</x:v>
      </x:c>
      <x:c r="G54" s="6">
        <x:v>1</x:v>
      </x:c>
      <x:c r="I54" s="18"/>
    </x:row>
    <x:row r="55">
      <x:c r="A55" s="6" t="s">
        <x:v>406</x:v>
      </x:c>
      <x:c r="B55" s="18" t="s">
        <x:v>243</x:v>
      </x:c>
      <x:c r="C55" s="18" t="s">
        <x:v>404</x:v>
      </x:c>
      <x:c r="D55" s="18">
        <x:v>30</x:v>
      </x:c>
      <x:c r="E55" s="18">
        <x:v>1</x:v>
      </x:c>
      <x:c r="F55" s="18" t="s">
        <x:v>405</x:v>
      </x:c>
      <x:c r="G55" s="6">
        <x:v>1</x:v>
      </x:c>
      <x:c r="I55" s="18"/>
    </x:row>
    <x:row r="56">
      <x:c r="A56" s="6" t="s">
        <x:v>407</x:v>
      </x:c>
      <x:c r="B56" s="18" t="s">
        <x:v>248</x:v>
      </x:c>
      <x:c r="C56" s="18" t="s">
        <x:v>404</x:v>
      </x:c>
      <x:c r="D56" s="18">
        <x:v>30</x:v>
      </x:c>
      <x:c r="E56" s="18">
        <x:v>1</x:v>
      </x:c>
      <x:c r="F56" s="18" t="s">
        <x:v>405</x:v>
      </x:c>
      <x:c r="G56" s="6">
        <x:v>1</x:v>
      </x:c>
      <x:c r="I56" s="18"/>
    </x:row>
    <x:row r="57">
      <x:c r="A57" s="6" t="s">
        <x:v>408</x:v>
      </x:c>
      <x:c r="B57" s="18" t="s">
        <x:v>253</x:v>
      </x:c>
      <x:c r="C57" s="18" t="s">
        <x:v>404</x:v>
      </x:c>
      <x:c r="D57" s="18">
        <x:v>30</x:v>
      </x:c>
      <x:c r="E57" s="18">
        <x:v>1</x:v>
      </x:c>
      <x:c r="F57" s="18" t="s">
        <x:v>405</x:v>
      </x:c>
      <x:c r="G57" s="6">
        <x:v>1</x:v>
      </x:c>
      <x:c r="I57" s="18"/>
    </x:row>
    <x:row r="58">
      <x:c r="A58" s="6" t="s">
        <x:v>409</x:v>
      </x:c>
      <x:c r="B58" s="18" t="s">
        <x:v>258</x:v>
      </x:c>
      <x:c r="C58" s="18" t="s">
        <x:v>404</x:v>
      </x:c>
      <x:c r="D58" s="18">
        <x:v>30</x:v>
      </x:c>
      <x:c r="E58" s="18">
        <x:v>1</x:v>
      </x:c>
      <x:c r="F58" s="18" t="s">
        <x:v>405</x:v>
      </x:c>
      <x:c r="G58" s="6">
        <x:v>1</x:v>
      </x:c>
      <x:c r="I58" s="18"/>
    </x:row>
    <x:row r="59">
      <x:c r="A59" s="6" t="s">
        <x:v>410</x:v>
      </x:c>
      <x:c r="B59" s="18" t="s">
        <x:v>263</x:v>
      </x:c>
      <x:c r="C59" s="18" t="s">
        <x:v>404</x:v>
      </x:c>
      <x:c r="D59" s="18">
        <x:v>30</x:v>
      </x:c>
      <x:c r="E59" s="18">
        <x:v>1</x:v>
      </x:c>
      <x:c r="F59" s="18" t="s">
        <x:v>405</x:v>
      </x:c>
      <x:c r="G59" s="6">
        <x:v>1</x:v>
      </x:c>
      <x:c r="I59" s="18"/>
    </x:row>
    <x:row r="60">
      <x:c r="A60" s="6" t="s">
        <x:v>411</x:v>
      </x:c>
      <x:c r="B60" s="18" t="s">
        <x:v>268</x:v>
      </x:c>
      <x:c r="C60" s="18" t="s">
        <x:v>404</x:v>
      </x:c>
      <x:c r="D60" s="18">
        <x:v>30</x:v>
      </x:c>
      <x:c r="E60" s="18">
        <x:v>1</x:v>
      </x:c>
      <x:c r="F60" s="18" t="s">
        <x:v>405</x:v>
      </x:c>
      <x:c r="G60" s="6">
        <x:v>1</x:v>
      </x:c>
      <x:c r="I60" s="18"/>
    </x:row>
    <x:row r="61">
      <x:c r="A61" s="6" t="s">
        <x:v>412</x:v>
      </x:c>
      <x:c r="B61" s="18" t="s">
        <x:v>273</x:v>
      </x:c>
      <x:c r="C61" s="18" t="s">
        <x:v>404</x:v>
      </x:c>
      <x:c r="D61" s="18">
        <x:v>30</x:v>
      </x:c>
      <x:c r="E61" s="18">
        <x:v>1</x:v>
      </x:c>
      <x:c r="F61" s="18" t="s">
        <x:v>405</x:v>
      </x:c>
      <x:c r="G61" s="6">
        <x:v>1</x:v>
      </x:c>
      <x:c r="I61" s="18"/>
    </x:row>
    <x:row r="62">
      <x:c r="A62" s="13" t="s">
        <x:v>413</x:v>
      </x:c>
      <x:c r="B62" s="18" t="s">
        <x:v>414</x:v>
      </x:c>
      <x:c r="C62" s="18" t="s">
        <x:v>415</x:v>
      </x:c>
      <x:c r="D62" s="18">
        <x:v>20</x:v>
      </x:c>
      <x:c r="E62" s="18">
        <x:v>1</x:v>
      </x:c>
      <x:c r="F62" s="18" t="s">
        <x:v>416</x:v>
      </x:c>
      <x:c r="G62" s="18" t="s">
        <x:v>81</x:v>
      </x:c>
      <x:c r="H62">
        <x:v>5</x:v>
      </x:c>
      <x:c r="I62" s="18"/>
    </x:row>
    <x:row r="63">
      <x:c r="A63" s="13" t="s">
        <x:v>417</x:v>
      </x:c>
      <x:c r="B63" s="18" t="s">
        <x:v>418</x:v>
      </x:c>
      <x:c r="C63" s="18" t="s">
        <x:v>415</x:v>
      </x:c>
      <x:c r="D63" s="18">
        <x:v>20</x:v>
      </x:c>
      <x:c r="E63" s="18">
        <x:v>1</x:v>
      </x:c>
      <x:c r="F63" s="18" t="s">
        <x:v>416</x:v>
      </x:c>
      <x:c r="G63" s="18" t="s">
        <x:v>50</x:v>
      </x:c>
      <x:c r="H63">
        <x:v>2</x:v>
      </x:c>
      <x:c r="I63" s="18"/>
    </x:row>
    <x:row r="64">
      <x:c r="A64" s="13" t="s">
        <x:v>419</x:v>
      </x:c>
      <x:c r="B64" s="18" t="s">
        <x:v>420</x:v>
      </x:c>
      <x:c r="C64" s="18" t="s">
        <x:v>415</x:v>
      </x:c>
      <x:c r="D64" s="18">
        <x:v>25</x:v>
      </x:c>
      <x:c r="E64" s="18">
        <x:v>1</x:v>
      </x:c>
      <x:c r="F64" s="18" t="s">
        <x:v>416</x:v>
      </x:c>
      <x:c r="G64" s="18" t="s">
        <x:v>82</x:v>
      </x:c>
      <x:c r="H64">
        <x:v>0.5</x:v>
      </x:c>
      <x:c r="I64" s="18"/>
    </x:row>
    <x:row r="65">
      <x:c r="A65" s="13" t="s">
        <x:v>421</x:v>
      </x:c>
      <x:c r="B65" s="18" t="s">
        <x:v>422</x:v>
      </x:c>
      <x:c r="C65" s="18" t="s">
        <x:v>415</x:v>
      </x:c>
      <x:c r="D65" s="18">
        <x:v>30</x:v>
      </x:c>
      <x:c r="E65" s="18">
        <x:v>1</x:v>
      </x:c>
      <x:c r="F65" s="18" t="s">
        <x:v>416</x:v>
      </x:c>
      <x:c r="G65" s="18" t="s">
        <x:v>305</x:v>
      </x:c>
      <x:c r="H65" s="19">
        <x:v>0.03</x:v>
      </x:c>
      <x:c r="I65" s="18"/>
    </x:row>
    <x:row r="66">
      <x:c r="A66" s="13" t="s">
        <x:v>423</x:v>
      </x:c>
      <x:c r="B66" s="18" t="s">
        <x:v>424</x:v>
      </x:c>
      <x:c r="C66" s="18" t="s">
        <x:v>415</x:v>
      </x:c>
      <x:c r="D66" s="18">
        <x:v>25</x:v>
      </x:c>
      <x:c r="E66" s="18">
        <x:v>1</x:v>
      </x:c>
      <x:c r="F66" s="18" t="s">
        <x:v>425</x:v>
      </x:c>
      <x:c r="G66">
        <x:v>1</x:v>
      </x:c>
      <x:c r="I66" s="1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"/>
  <x:cols>
    <x:col min="1" max="1" width="20.33203125" customWidth="1"/>
    <x:col min="2" max="2" width="15.5" customWidth="1"/>
    <x:col min="3" max="3" width="16.25" customWidth="1"/>
    <x:col min="4" max="4" width="21.33203125" customWidth="1"/>
  </x:cols>
  <x:sheetData>
    <x:row r="1" s="16" customFormat="1">
      <x:c r="A1" s="9" t="s">
        <x:v>426</x:v>
      </x:c>
      <x:c r="B1" s="9" t="s">
        <x:v>427</x:v>
      </x:c>
      <x:c r="C1" s="9" t="s">
        <x:v>344</x:v>
      </x:c>
      <x:c r="D1" s="9"/>
    </x:row>
    <x:row r="2">
      <x:c r="A2" s="25" t="s">
        <x:v>428</x:v>
      </x:c>
      <x:c r="B2" s="25" t="s">
        <x:v>429</x:v>
      </x:c>
      <x:c r="C2" s="8">
        <x:v>6</x:v>
      </x:c>
      <x:c r="D2" s="25"/>
    </x:row>
    <x:row r="3">
      <x:c r="A3" s="25" t="s">
        <x:v>430</x:v>
      </x:c>
      <x:c r="B3" s="25" t="s">
        <x:v>431</x:v>
      </x:c>
      <x:c r="C3" s="8">
        <x:v>12</x:v>
      </x:c>
      <x:c r="D3" s="25"/>
    </x:row>
    <x:row r="4">
      <x:c r="A4" s="25"/>
      <x:c r="B4" s="25"/>
      <x:c r="C4" s="25"/>
      <x:c r="D4" s="2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"/>
  <x:cols>
    <x:col min="1" max="1" width="16.75" style="29" customWidth="1"/>
    <x:col min="2" max="2" width="15.4140625" style="29" customWidth="1"/>
    <x:col min="3" max="3" width="15.5" style="29" customWidth="1"/>
    <x:col min="4" max="4" width="14.9140625" style="29" customWidth="1"/>
    <x:col min="5" max="5" width="15.9140625" style="29" customWidth="1"/>
    <x:col min="6" max="6" width="29.08203125" style="29" customWidth="1"/>
    <x:col min="7" max="16384" width="8.6640625" style="29" customWidth="0"/>
  </x:cols>
  <x:sheetData>
    <x:row r="1" s="23" customFormat="1">
      <x:c r="A1" s="9" t="s">
        <x:v>432</x:v>
      </x:c>
      <x:c r="B1" s="9" t="s">
        <x:v>433</x:v>
      </x:c>
      <x:c r="C1" s="9" t="s">
        <x:v>343</x:v>
      </x:c>
      <x:c r="D1" s="9" t="s">
        <x:v>434</x:v>
      </x:c>
      <x:c r="E1" s="9" t="s">
        <x:v>435</x:v>
      </x:c>
      <x:c r="F1" s="9"/>
    </x:row>
    <x:row r="2">
      <x:c r="A2" s="25" t="s">
        <x:v>436</x:v>
      </x:c>
      <x:c r="B2" s="28" t="s">
        <x:v>56</x:v>
      </x:c>
      <x:c r="C2" s="25" t="s">
        <x:v>350</x:v>
      </x:c>
      <x:c r="D2" s="25">
        <x:v>1</x:v>
      </x:c>
      <x:c r="E2" s="25">
        <x:v>45</x:v>
      </x:c>
      <x:c r="F2" s="25"/>
    </x:row>
    <x:row r="3">
      <x:c r="A3" s="25" t="s">
        <x:v>437</x:v>
      </x:c>
      <x:c r="B3" s="28" t="s">
        <x:v>56</x:v>
      </x:c>
      <x:c r="C3" s="25" t="s">
        <x:v>438</x:v>
      </x:c>
      <x:c r="D3" s="25">
        <x:v>1</x:v>
      </x:c>
      <x:c r="E3" s="25">
        <x:v>20</x:v>
      </x:c>
      <x:c r="F3" s="25"/>
    </x:row>
    <x:row r="4">
      <x:c r="A4" s="25" t="s">
        <x:v>439</x:v>
      </x:c>
      <x:c r="B4" s="28" t="s">
        <x:v>56</x:v>
      </x:c>
      <x:c r="C4" s="25" t="s">
        <x:v>415</x:v>
      </x:c>
      <x:c r="D4" s="25">
        <x:v>1</x:v>
      </x:c>
      <x:c r="E4" s="25">
        <x:v>35</x:v>
      </x:c>
      <x:c r="F4" s="25"/>
    </x:row>
    <x:row r="5">
      <x:c r="A5" s="25" t="s">
        <x:v>440</x:v>
      </x:c>
      <x:c r="B5" s="28" t="s">
        <x:v>66</x:v>
      </x:c>
      <x:c r="C5" s="25" t="s">
        <x:v>350</x:v>
      </x:c>
      <x:c r="D5" s="25">
        <x:v>1</x:v>
      </x:c>
      <x:c r="E5" s="25">
        <x:v>40</x:v>
      </x:c>
      <x:c r="F5" s="25"/>
    </x:row>
    <x:row r="6">
      <x:c r="A6" s="25" t="s">
        <x:v>441</x:v>
      </x:c>
      <x:c r="B6" s="28" t="s">
        <x:v>66</x:v>
      </x:c>
      <x:c r="C6" s="25" t="s">
        <x:v>438</x:v>
      </x:c>
      <x:c r="D6" s="25">
        <x:v>1</x:v>
      </x:c>
      <x:c r="E6" s="25">
        <x:v>25</x:v>
      </x:c>
      <x:c r="F6" s="25"/>
    </x:row>
    <x:row r="7">
      <x:c r="A7" s="25" t="s">
        <x:v>442</x:v>
      </x:c>
      <x:c r="B7" s="28" t="s">
        <x:v>66</x:v>
      </x:c>
      <x:c r="C7" s="25" t="s">
        <x:v>415</x:v>
      </x:c>
      <x:c r="D7" s="25">
        <x:v>1</x:v>
      </x:c>
      <x:c r="E7" s="25">
        <x:v>35</x:v>
      </x:c>
      <x:c r="F7" s="25"/>
    </x:row>
    <x:row r="8">
      <x:c r="A8" s="25" t="s">
        <x:v>443</x:v>
      </x:c>
      <x:c r="B8" s="28" t="s">
        <x:v>74</x:v>
      </x:c>
      <x:c r="C8" s="25" t="s">
        <x:v>350</x:v>
      </x:c>
      <x:c r="D8" s="25">
        <x:v>1</x:v>
      </x:c>
      <x:c r="E8" s="25">
        <x:v>30</x:v>
      </x:c>
      <x:c r="F8" s="25"/>
    </x:row>
    <x:row r="9">
      <x:c r="A9" s="25" t="s">
        <x:v>444</x:v>
      </x:c>
      <x:c r="B9" s="28" t="s">
        <x:v>74</x:v>
      </x:c>
      <x:c r="C9" s="25" t="s">
        <x:v>438</x:v>
      </x:c>
      <x:c r="D9" s="25">
        <x:v>1</x:v>
      </x:c>
      <x:c r="E9" s="25">
        <x:v>30</x:v>
      </x:c>
      <x:c r="F9" s="25"/>
    </x:row>
    <x:row r="10">
      <x:c r="A10" s="25" t="s">
        <x:v>445</x:v>
      </x:c>
      <x:c r="B10" s="28" t="s">
        <x:v>74</x:v>
      </x:c>
      <x:c r="C10" s="25" t="s">
        <x:v>415</x:v>
      </x:c>
      <x:c r="D10" s="25">
        <x:v>1</x:v>
      </x:c>
      <x:c r="E10" s="25">
        <x:v>40</x:v>
      </x:c>
      <x:c r="F10" s="2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"/>
  <x:cols>
    <x:col min="1" max="1" width="21.33203125" customWidth="1"/>
    <x:col min="2" max="2" width="21.1640625" customWidth="1"/>
    <x:col min="3" max="3" width="8.6640625" style="1" customWidth="0"/>
  </x:cols>
  <x:sheetData>
    <x:row r="1" s="16" customFormat="1">
      <x:c r="A1" s="26" t="s">
        <x:v>446</x:v>
      </x:c>
      <x:c r="B1" s="26" t="s">
        <x:v>341</x:v>
      </x:c>
      <x:c r="C1" s="26" t="s">
        <x:v>307</x:v>
      </x:c>
    </x:row>
    <x:row r="2">
      <x:c r="A2" s="13" t="s">
        <x:v>447</x:v>
      </x:c>
      <x:c r="B2" s="25" t="s">
        <x:v>349</x:v>
      </x:c>
      <x:c r="C2" s="4">
        <x:v>1</x:v>
      </x:c>
    </x:row>
    <x:row r="3">
      <x:c r="A3" s="13" t="s">
        <x:v>448</x:v>
      </x:c>
      <x:c r="B3" s="25" t="s">
        <x:v>352</x:v>
      </x:c>
      <x:c r="C3" s="4">
        <x:v>1</x:v>
      </x:c>
    </x:row>
    <x:row r="4">
      <x:c r="A4" s="13" t="s">
        <x:v>449</x:v>
      </x:c>
      <x:c r="B4" s="25" t="s">
        <x:v>353</x:v>
      </x:c>
      <x:c r="C4" s="4">
        <x:v>1</x:v>
      </x:c>
    </x:row>
    <x:row r="5">
      <x:c r="A5" s="13" t="s">
        <x:v>450</x:v>
      </x:c>
      <x:c r="B5" s="25" t="s">
        <x:v>354</x:v>
      </x:c>
      <x:c r="C5" s="4">
        <x:v>1</x:v>
      </x:c>
    </x:row>
    <x:row r="6">
      <x:c r="A6" s="13" t="s">
        <x:v>451</x:v>
      </x:c>
      <x:c r="B6" s="25" t="s">
        <x:v>355</x:v>
      </x:c>
      <x:c r="C6" s="4">
        <x:v>1</x:v>
      </x:c>
    </x:row>
    <x:row r="7">
      <x:c r="A7" s="13" t="s">
        <x:v>452</x:v>
      </x:c>
      <x:c r="B7" s="25" t="s">
        <x:v>356</x:v>
      </x:c>
      <x:c r="C7" s="4">
        <x:v>1</x:v>
      </x:c>
    </x:row>
    <x:row r="8">
      <x:c r="A8" s="13" t="s">
        <x:v>453</x:v>
      </x:c>
      <x:c r="B8" s="25" t="s">
        <x:v>357</x:v>
      </x:c>
      <x:c r="C8" s="4">
        <x:v>1</x:v>
      </x:c>
    </x:row>
    <x:row r="9">
      <x:c r="A9" s="13" t="s">
        <x:v>454</x:v>
      </x:c>
      <x:c r="B9" s="25" t="s">
        <x:v>358</x:v>
      </x:c>
      <x:c r="C9" s="4">
        <x:v>1</x:v>
      </x:c>
    </x:row>
    <x:row r="10">
      <x:c r="A10" s="13" t="s">
        <x:v>455</x:v>
      </x:c>
      <x:c r="B10" s="25" t="s">
        <x:v>359</x:v>
      </x:c>
      <x:c r="C10" s="4">
        <x:v>1</x:v>
      </x:c>
    </x:row>
    <x:row r="11">
      <x:c r="A11" s="13" t="s">
        <x:v>456</x:v>
      </x:c>
      <x:c r="B11" s="25" t="s">
        <x:v>360</x:v>
      </x:c>
      <x:c r="C11" s="4">
        <x:v>1</x:v>
      </x:c>
    </x:row>
    <x:row r="12">
      <x:c r="A12" s="13" t="s">
        <x:v>457</x:v>
      </x:c>
      <x:c r="B12" s="25" t="s">
        <x:v>361</x:v>
      </x:c>
      <x:c r="C12" s="4">
        <x:v>1</x:v>
      </x:c>
    </x:row>
    <x:row r="13">
      <x:c r="A13" s="13" t="s">
        <x:v>458</x:v>
      </x:c>
      <x:c r="B13" s="25" t="s">
        <x:v>362</x:v>
      </x:c>
      <x:c r="C13" s="4">
        <x:v>1</x:v>
      </x:c>
    </x:row>
    <x:row r="14">
      <x:c r="A14" s="13" t="s">
        <x:v>459</x:v>
      </x:c>
      <x:c r="B14" s="25" t="s">
        <x:v>363</x:v>
      </x:c>
      <x:c r="C14" s="4">
        <x:v>1</x:v>
      </x:c>
    </x:row>
    <x:row r="15">
      <x:c r="A15" s="13" t="s">
        <x:v>460</x:v>
      </x:c>
      <x:c r="B15" s="25" t="s">
        <x:v>364</x:v>
      </x:c>
      <x:c r="C15" s="4">
        <x:v>1</x:v>
      </x:c>
    </x:row>
    <x:row r="16">
      <x:c r="A16" s="13" t="s">
        <x:v>461</x:v>
      </x:c>
      <x:c r="B16" s="25" t="s">
        <x:v>365</x:v>
      </x:c>
      <x:c r="C16" s="4">
        <x:v>1</x:v>
      </x:c>
    </x:row>
    <x:row r="17">
      <x:c r="A17" s="13" t="s">
        <x:v>462</x:v>
      </x:c>
      <x:c r="B17" s="25" t="s">
        <x:v>366</x:v>
      </x:c>
      <x:c r="C17" s="4">
        <x:v>1</x:v>
      </x:c>
    </x:row>
    <x:row r="18">
      <x:c r="A18" s="13" t="s">
        <x:v>463</x:v>
      </x:c>
      <x:c r="B18" s="25" t="s">
        <x:v>367</x:v>
      </x:c>
      <x:c r="C18" s="4">
        <x:v>1</x:v>
      </x:c>
    </x:row>
    <x:row r="19">
      <x:c r="A19" s="13" t="s">
        <x:v>464</x:v>
      </x:c>
      <x:c r="B19" s="25" t="s">
        <x:v>368</x:v>
      </x:c>
      <x:c r="C19" s="4">
        <x:v>1</x:v>
      </x:c>
    </x:row>
    <x:row r="20">
      <x:c r="A20" s="13" t="s">
        <x:v>465</x:v>
      </x:c>
      <x:c r="B20" s="25" t="s">
        <x:v>369</x:v>
      </x:c>
      <x:c r="C20" s="4">
        <x:v>1</x:v>
      </x:c>
    </x:row>
    <x:row r="21">
      <x:c r="A21" s="13" t="s">
        <x:v>466</x:v>
      </x:c>
      <x:c r="B21" s="25" t="s">
        <x:v>370</x:v>
      </x:c>
      <x:c r="C21" s="4">
        <x:v>1</x:v>
      </x:c>
    </x:row>
    <x:row r="22">
      <x:c r="A22" s="13" t="s">
        <x:v>467</x:v>
      </x:c>
      <x:c r="B22" s="25" t="s">
        <x:v>371</x:v>
      </x:c>
      <x:c r="C22" s="4">
        <x:v>1</x:v>
      </x:c>
    </x:row>
    <x:row r="23">
      <x:c r="A23" s="13" t="s">
        <x:v>468</x:v>
      </x:c>
      <x:c r="B23" s="25" t="s">
        <x:v>372</x:v>
      </x:c>
      <x:c r="C23" s="4">
        <x:v>1</x:v>
      </x:c>
    </x:row>
    <x:row r="24">
      <x:c r="A24" s="13" t="s">
        <x:v>469</x:v>
      </x:c>
      <x:c r="B24" s="25" t="s">
        <x:v>373</x:v>
      </x:c>
      <x:c r="C24" s="4">
        <x:v>1</x:v>
      </x:c>
    </x:row>
    <x:row r="25">
      <x:c r="A25" s="13" t="s">
        <x:v>470</x:v>
      </x:c>
      <x:c r="B25" s="25" t="s">
        <x:v>374</x:v>
      </x:c>
      <x:c r="C25" s="4">
        <x:v>1</x:v>
      </x:c>
    </x:row>
    <x:row r="26">
      <x:c r="A26" s="13" t="s">
        <x:v>471</x:v>
      </x:c>
      <x:c r="B26" s="25" t="s">
        <x:v>375</x:v>
      </x:c>
      <x:c r="C26" s="4">
        <x:v>1</x:v>
      </x:c>
    </x:row>
    <x:row r="27">
      <x:c r="A27" s="13" t="s">
        <x:v>472</x:v>
      </x:c>
      <x:c r="B27" s="25" t="s">
        <x:v>376</x:v>
      </x:c>
      <x:c r="C27" s="4">
        <x:v>1</x:v>
      </x:c>
    </x:row>
    <x:row r="28">
      <x:c r="A28" s="13" t="s">
        <x:v>473</x:v>
      </x:c>
      <x:c r="B28" s="25" t="s">
        <x:v>377</x:v>
      </x:c>
      <x:c r="C28" s="4">
        <x:v>1</x:v>
      </x:c>
    </x:row>
    <x:row r="29">
      <x:c r="A29" s="13" t="s">
        <x:v>474</x:v>
      </x:c>
      <x:c r="B29" s="25" t="s">
        <x:v>378</x:v>
      </x:c>
      <x:c r="C29" s="4">
        <x:v>1</x:v>
      </x:c>
    </x:row>
    <x:row r="30">
      <x:c r="A30" s="13" t="s">
        <x:v>475</x:v>
      </x:c>
      <x:c r="B30" s="25" t="s">
        <x:v>379</x:v>
      </x:c>
      <x:c r="C30" s="4">
        <x:v>1</x:v>
      </x:c>
    </x:row>
    <x:row r="31">
      <x:c r="A31" s="13" t="s">
        <x:v>476</x:v>
      </x:c>
      <x:c r="B31" s="25" t="s">
        <x:v>380</x:v>
      </x:c>
      <x:c r="C31" s="4">
        <x:v>1</x:v>
      </x:c>
    </x:row>
    <x:row r="32">
      <x:c r="A32" s="13" t="s">
        <x:v>477</x:v>
      </x:c>
      <x:c r="B32" s="25" t="s">
        <x:v>381</x:v>
      </x:c>
      <x:c r="C32" s="4">
        <x:v>1</x:v>
      </x:c>
    </x:row>
    <x:row r="33">
      <x:c r="A33" s="13" t="s">
        <x:v>478</x:v>
      </x:c>
      <x:c r="B33" s="25" t="s">
        <x:v>382</x:v>
      </x:c>
      <x:c r="C33" s="4">
        <x:v>1</x:v>
      </x:c>
    </x:row>
    <x:row r="34">
      <x:c r="A34" s="13" t="s">
        <x:v>479</x:v>
      </x:c>
      <x:c r="B34" s="25" t="s">
        <x:v>383</x:v>
      </x:c>
      <x:c r="C34" s="4">
        <x:v>1</x:v>
      </x:c>
    </x:row>
    <x:row r="35">
      <x:c r="A35" s="13" t="s">
        <x:v>480</x:v>
      </x:c>
      <x:c r="B35" s="25" t="s">
        <x:v>384</x:v>
      </x:c>
      <x:c r="C35" s="4">
        <x:v>1</x:v>
      </x:c>
    </x:row>
    <x:row r="36">
      <x:c r="A36" s="13" t="s">
        <x:v>481</x:v>
      </x:c>
      <x:c r="B36" s="25" t="s">
        <x:v>385</x:v>
      </x:c>
      <x:c r="C36" s="4">
        <x:v>1</x:v>
      </x:c>
    </x:row>
    <x:row r="37">
      <x:c r="A37" s="13" t="s">
        <x:v>482</x:v>
      </x:c>
      <x:c r="B37" s="25" t="s">
        <x:v>386</x:v>
      </x:c>
      <x:c r="C37" s="4">
        <x:v>1</x:v>
      </x:c>
    </x:row>
    <x:row r="38">
      <x:c r="A38" s="13" t="s">
        <x:v>483</x:v>
      </x:c>
      <x:c r="B38" s="25" t="s">
        <x:v>387</x:v>
      </x:c>
      <x:c r="C38" s="4">
        <x:v>1</x:v>
      </x:c>
    </x:row>
    <x:row r="39">
      <x:c r="A39" s="13" t="s">
        <x:v>484</x:v>
      </x:c>
      <x:c r="B39" s="25" t="s">
        <x:v>388</x:v>
      </x:c>
      <x:c r="C39" s="4">
        <x:v>1</x:v>
      </x:c>
    </x:row>
    <x:row r="40">
      <x:c r="A40" s="13" t="s">
        <x:v>485</x:v>
      </x:c>
      <x:c r="B40" s="25" t="s">
        <x:v>389</x:v>
      </x:c>
      <x:c r="C40" s="4">
        <x:v>1</x:v>
      </x:c>
    </x:row>
    <x:row r="41">
      <x:c r="A41" s="13" t="s">
        <x:v>486</x:v>
      </x:c>
      <x:c r="B41" s="25" t="s">
        <x:v>390</x:v>
      </x:c>
      <x:c r="C41" s="4">
        <x:v>1</x:v>
      </x:c>
    </x:row>
    <x:row r="42">
      <x:c r="A42" s="13" t="s">
        <x:v>487</x:v>
      </x:c>
      <x:c r="B42" s="25" t="s">
        <x:v>391</x:v>
      </x:c>
      <x:c r="C42" s="4">
        <x:v>1</x:v>
      </x:c>
    </x:row>
    <x:row r="43">
      <x:c r="A43" s="13" t="s">
        <x:v>488</x:v>
      </x:c>
      <x:c r="B43" s="25" t="s">
        <x:v>392</x:v>
      </x:c>
      <x:c r="C43" s="4">
        <x:v>1</x:v>
      </x:c>
    </x:row>
    <x:row r="44">
      <x:c r="A44" s="13" t="s">
        <x:v>489</x:v>
      </x:c>
      <x:c r="B44" s="25" t="s">
        <x:v>393</x:v>
      </x:c>
      <x:c r="C44" s="4">
        <x:v>1</x:v>
      </x:c>
    </x:row>
    <x:row r="45">
      <x:c r="A45" s="13" t="s">
        <x:v>490</x:v>
      </x:c>
      <x:c r="B45" s="25" t="s">
        <x:v>394</x:v>
      </x:c>
      <x:c r="C45" s="4">
        <x:v>1</x:v>
      </x:c>
    </x:row>
    <x:row r="46">
      <x:c r="A46" s="13" t="s">
        <x:v>491</x:v>
      </x:c>
      <x:c r="B46" s="25" t="s">
        <x:v>395</x:v>
      </x:c>
      <x:c r="C46" s="4">
        <x:v>1</x:v>
      </x:c>
    </x:row>
    <x:row r="47">
      <x:c r="A47" s="13" t="s">
        <x:v>492</x:v>
      </x:c>
      <x:c r="B47" s="25" t="s">
        <x:v>396</x:v>
      </x:c>
      <x:c r="C47" s="4">
        <x:v>1</x:v>
      </x:c>
    </x:row>
    <x:row r="48">
      <x:c r="A48" s="13" t="s">
        <x:v>493</x:v>
      </x:c>
      <x:c r="B48" s="25" t="s">
        <x:v>397</x:v>
      </x:c>
      <x:c r="C48" s="4">
        <x:v>1</x:v>
      </x:c>
    </x:row>
    <x:row r="49">
      <x:c r="A49" s="13" t="s">
        <x:v>494</x:v>
      </x:c>
      <x:c r="B49" s="25" t="s">
        <x:v>398</x:v>
      </x:c>
      <x:c r="C49" s="4">
        <x:v>1</x:v>
      </x:c>
    </x:row>
    <x:row r="50">
      <x:c r="A50" s="13" t="s">
        <x:v>495</x:v>
      </x:c>
      <x:c r="B50" s="25" t="s">
        <x:v>399</x:v>
      </x:c>
      <x:c r="C50" s="4">
        <x:v>1</x:v>
      </x:c>
    </x:row>
    <x:row r="51">
      <x:c r="A51" s="13" t="s">
        <x:v>496</x:v>
      </x:c>
      <x:c r="B51" s="25" t="s">
        <x:v>400</x:v>
      </x:c>
      <x:c r="C51" s="4">
        <x:v>1</x:v>
      </x:c>
    </x:row>
    <x:row r="52">
      <x:c r="A52" s="13" t="s">
        <x:v>497</x:v>
      </x:c>
      <x:c r="B52" s="25" t="s">
        <x:v>401</x:v>
      </x:c>
      <x:c r="C52" s="4">
        <x:v>1</x:v>
      </x:c>
    </x:row>
    <x:row r="53">
      <x:c r="A53" s="13" t="s">
        <x:v>498</x:v>
      </x:c>
      <x:c r="B53" s="25" t="s">
        <x:v>402</x:v>
      </x:c>
      <x:c r="C53" s="4">
        <x:v>1</x:v>
      </x:c>
    </x:row>
    <x:row r="54">
      <x:c r="A54" s="13" t="s">
        <x:v>499</x:v>
      </x:c>
      <x:c r="B54" s="13" t="s">
        <x:v>403</x:v>
      </x:c>
      <x:c r="C54" s="4">
        <x:v>10</x:v>
      </x:c>
    </x:row>
    <x:row r="55">
      <x:c r="A55" s="13" t="s">
        <x:v>500</x:v>
      </x:c>
      <x:c r="B55" s="13" t="s">
        <x:v>406</x:v>
      </x:c>
      <x:c r="C55" s="4">
        <x:v>10</x:v>
      </x:c>
    </x:row>
    <x:row r="56">
      <x:c r="A56" s="13" t="s">
        <x:v>501</x:v>
      </x:c>
      <x:c r="B56" s="13" t="s">
        <x:v>407</x:v>
      </x:c>
      <x:c r="C56" s="4">
        <x:v>10</x:v>
      </x:c>
    </x:row>
    <x:row r="57">
      <x:c r="A57" s="13" t="s">
        <x:v>502</x:v>
      </x:c>
      <x:c r="B57" s="13" t="s">
        <x:v>408</x:v>
      </x:c>
      <x:c r="C57" s="4">
        <x:v>10</x:v>
      </x:c>
    </x:row>
    <x:row r="58">
      <x:c r="A58" s="13" t="s">
        <x:v>503</x:v>
      </x:c>
      <x:c r="B58" s="13" t="s">
        <x:v>409</x:v>
      </x:c>
      <x:c r="C58" s="4">
        <x:v>10</x:v>
      </x:c>
    </x:row>
    <x:row r="59">
      <x:c r="A59" s="13" t="s">
        <x:v>504</x:v>
      </x:c>
      <x:c r="B59" s="13" t="s">
        <x:v>410</x:v>
      </x:c>
      <x:c r="C59" s="4">
        <x:v>10</x:v>
      </x:c>
    </x:row>
    <x:row r="60">
      <x:c r="A60" s="13" t="s">
        <x:v>505</x:v>
      </x:c>
      <x:c r="B60" s="13" t="s">
        <x:v>411</x:v>
      </x:c>
      <x:c r="C60" s="4">
        <x:v>10</x:v>
      </x:c>
    </x:row>
    <x:row r="61">
      <x:c r="A61" s="13" t="s">
        <x:v>506</x:v>
      </x:c>
      <x:c r="B61" s="13" t="s">
        <x:v>412</x:v>
      </x:c>
      <x:c r="C61" s="4">
        <x:v>10</x:v>
      </x:c>
    </x:row>
    <x:row r="62">
      <x:c r="A62" s="13" t="s">
        <x:v>507</x:v>
      </x:c>
      <x:c r="B62" s="13" t="s">
        <x:v>413</x:v>
      </x:c>
      <x:c r="C62" s="4">
        <x:v>20</x:v>
      </x:c>
    </x:row>
    <x:row r="63">
      <x:c r="A63" s="13" t="s">
        <x:v>508</x:v>
      </x:c>
      <x:c r="B63" s="13" t="s">
        <x:v>417</x:v>
      </x:c>
      <x:c r="C63" s="4">
        <x:v>20</x:v>
      </x:c>
    </x:row>
    <x:row r="64">
      <x:c r="A64" s="13" t="s">
        <x:v>509</x:v>
      </x:c>
      <x:c r="B64" s="13" t="s">
        <x:v>419</x:v>
      </x:c>
      <x:c r="C64" s="4">
        <x:v>20</x:v>
      </x:c>
    </x:row>
    <x:row r="65">
      <x:c r="A65" s="13" t="s">
        <x:v>510</x:v>
      </x:c>
      <x:c r="B65" s="13" t="s">
        <x:v>421</x:v>
      </x:c>
      <x:c r="C65" s="4">
        <x:v>20</x:v>
      </x:c>
    </x:row>
    <x:row r="66">
      <x:c r="A66" s="13" t="s">
        <x:v>511</x:v>
      </x:c>
      <x:c r="B66" s="13" t="s">
        <x:v>423</x:v>
      </x:c>
      <x:c r="C66" s="4">
        <x:v>20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"/>
  <x:cols>
    <x:col min="1" max="1" width="16.75" customWidth="1"/>
    <x:col min="2" max="2" width="11.6640625" customWidth="1"/>
    <x:col min="4" max="4" width="33.9140625" customWidth="1"/>
  </x:cols>
  <x:sheetData>
    <x:row r="1" s="23" customFormat="1">
      <x:c r="A1" s="26" t="s">
        <x:v>80</x:v>
      </x:c>
      <x:c r="B1" s="26" t="s">
        <x:v>512</x:v>
      </x:c>
      <x:c r="C1" s="26" t="s">
        <x:v>513</x:v>
      </x:c>
      <x:c r="D1" s="26"/>
    </x:row>
    <x:row r="2">
      <x:c r="A2" s="6" t="s">
        <x:v>86</x:v>
      </x:c>
      <x:c r="B2" s="6" t="s">
        <x:v>514</x:v>
      </x:c>
      <x:c r="C2" s="6">
        <x:v>1</x:v>
      </x:c>
      <x:c r="D2" s="6"/>
    </x:row>
    <x:row r="3">
      <x:c r="A3" s="6" t="s">
        <x:v>97</x:v>
      </x:c>
      <x:c r="B3" s="6" t="s">
        <x:v>515</x:v>
      </x:c>
      <x:c r="C3" s="6">
        <x:v>2</x:v>
      </x:c>
      <x:c r="D3" s="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"/>
  <x:cols>
    <x:col min="1" max="1" width="16.25" customWidth="1"/>
    <x:col min="2" max="2" width="15.08203125" customWidth="1"/>
    <x:col min="3" max="3" width="20.25" customWidth="1"/>
    <x:col min="4" max="4" width="16.25" customWidth="1"/>
  </x:cols>
  <x:sheetData>
    <x:row r="1" s="23" customFormat="1">
      <x:c r="A1" s="9" t="s">
        <x:v>516</x:v>
      </x:c>
      <x:c r="B1" s="9" t="s">
        <x:v>517</x:v>
      </x:c>
      <x:c r="C1" s="9" t="s">
        <x:v>518</x:v>
      </x:c>
      <x:c r="D1" s="9"/>
    </x:row>
    <x:row r="2">
      <x:c r="A2" s="25" t="s">
        <x:v>283</x:v>
      </x:c>
      <x:c r="B2" s="25" t="s">
        <x:v>519</x:v>
      </x:c>
      <x:c r="C2" s="25" t="s">
        <x:v>520</x:v>
      </x:c>
      <x:c r="D2" s="25"/>
    </x:row>
    <x:row r="3">
      <x:c r="A3" s="25" t="s">
        <x:v>294</x:v>
      </x:c>
      <x:c r="B3" s="25" t="s">
        <x:v>521</x:v>
      </x:c>
      <x:c r="C3" s="25" t="s">
        <x:v>522</x:v>
      </x:c>
      <x:c r="D3" s="25"/>
    </x:row>
    <x:row r="4">
      <x:c r="A4" s="25" t="s">
        <x:v>523</x:v>
      </x:c>
      <x:c r="B4" s="25" t="s">
        <x:v>524</x:v>
      </x:c>
      <x:c r="C4" s="25" t="s">
        <x:v>525</x:v>
      </x:c>
      <x:c r="D4" s="25"/>
    </x:row>
    <x:row r="5">
      <x:c r="A5" s="25" t="s">
        <x:v>286</x:v>
      </x:c>
      <x:c r="B5" s="25" t="s">
        <x:v>526</x:v>
      </x:c>
      <x:c r="C5" s="25" t="s">
        <x:v>527</x:v>
      </x:c>
      <x:c r="D5" s="25"/>
    </x:row>
    <x:row r="6">
      <x:c r="A6" s="25" t="s">
        <x:v>528</x:v>
      </x:c>
      <x:c r="B6" s="25" t="s">
        <x:v>529</x:v>
      </x:c>
      <x:c r="C6" s="25" t="s">
        <x:v>530</x:v>
      </x:c>
      <x:c r="D6" s="25"/>
    </x:row>
    <x:row r="7">
      <x:c r="A7" s="25" t="s">
        <x:v>297</x:v>
      </x:c>
      <x:c r="B7" s="25" t="s">
        <x:v>531</x:v>
      </x:c>
      <x:c r="C7" s="25" t="s">
        <x:v>532</x:v>
      </x:c>
      <x:c r="D7" s="25"/>
    </x:row>
    <x:row r="8">
      <x:c r="A8" s="25" t="s">
        <x:v>533</x:v>
      </x:c>
      <x:c r="B8" s="25" t="s">
        <x:v>534</x:v>
      </x:c>
      <x:c r="C8" s="25" t="s">
        <x:v>535</x:v>
      </x:c>
      <x:c r="D8" s="25"/>
    </x:row>
    <x:row r="9">
      <x:c r="A9" s="25" t="s">
        <x:v>536</x:v>
      </x:c>
      <x:c r="B9" s="25" t="s">
        <x:v>537</x:v>
      </x:c>
      <x:c r="C9" s="25" t="s">
        <x:v>538</x:v>
      </x:c>
      <x:c r="D9" s="2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"/>
  <x:cols>
    <x:col min="1" max="1" width="15.4140625" customWidth="1"/>
    <x:col min="2" max="2" width="17.1640625" customWidth="1"/>
    <x:col min="3" max="3" width="20.33203125" style="7" customWidth="1"/>
    <x:col min="4" max="4" width="16.5" customWidth="1"/>
    <x:col min="5" max="5" width="19.9140625" customWidth="1"/>
    <x:col min="6" max="6" width="15" customWidth="1"/>
  </x:cols>
  <x:sheetData>
    <x:row r="1" s="16" customFormat="1">
      <x:c r="A1" s="2" t="s">
        <x:v>539</x:v>
      </x:c>
      <x:c r="B1" s="2" t="s">
        <x:v>109</x:v>
      </x:c>
      <x:c r="C1" s="11" t="s">
        <x:v>110</x:v>
      </x:c>
      <x:c r="D1" s="2" t="s">
        <x:v>540</x:v>
      </x:c>
      <x:c r="E1" s="2"/>
      <x:c r="F1" s="2"/>
    </x:row>
    <x:row r="2">
      <x:c r="A2" t="s">
        <x:v>541</x:v>
      </x:c>
      <x:c r="B2" s="7" t="s">
        <x:v>116</x:v>
      </x:c>
      <x:c r="C2" s="7" t="s">
        <x:v>117</x:v>
      </x:c>
    </x:row>
    <x:row r="3">
      <x:c r="A3" t="s">
        <x:v>542</x:v>
      </x:c>
      <x:c r="B3" s="7" t="s">
        <x:v>122</x:v>
      </x:c>
      <x:c r="C3" s="7" t="s">
        <x:v>117</x:v>
      </x:c>
    </x:row>
    <x:row r="4">
      <x:c r="A4" t="s">
        <x:v>543</x:v>
      </x:c>
      <x:c r="B4" s="7" t="s">
        <x:v>124</x:v>
      </x:c>
      <x:c r="C4" s="7" t="s">
        <x:v>117</x:v>
      </x:c>
    </x:row>
    <x:row r="5">
      <x:c r="A5" t="s">
        <x:v>544</x:v>
      </x:c>
      <x:c r="B5" s="7" t="s">
        <x:v>126</x:v>
      </x:c>
      <x:c r="C5" s="7" t="s">
        <x:v>117</x:v>
      </x:c>
    </x:row>
    <x:row r="6">
      <x:c r="A6" t="s">
        <x:v>545</x:v>
      </x:c>
      <x:c r="B6" s="7" t="s">
        <x:v>128</x:v>
      </x:c>
      <x:c r="C6" s="7" t="s">
        <x:v>117</x:v>
      </x:c>
    </x:row>
    <x:row r="7">
      <x:c r="A7" t="s">
        <x:v>546</x:v>
      </x:c>
      <x:c r="B7" s="7" t="s">
        <x:v>130</x:v>
      </x:c>
      <x:c r="C7" s="7" t="s">
        <x:v>117</x:v>
      </x:c>
    </x:row>
    <x:row r="8">
      <x:c r="A8" t="s">
        <x:v>547</x:v>
      </x:c>
      <x:c r="B8" s="7" t="s">
        <x:v>132</x:v>
      </x:c>
      <x:c r="C8" s="7" t="s">
        <x:v>117</x:v>
      </x:c>
    </x:row>
    <x:row r="9">
      <x:c r="A9" t="s">
        <x:v>548</x:v>
      </x:c>
      <x:c r="B9" s="7" t="s">
        <x:v>134</x:v>
      </x:c>
      <x:c r="C9" s="7" t="s">
        <x:v>117</x:v>
      </x:c>
    </x:row>
    <x:row r="10">
      <x:c r="A10" t="s">
        <x:v>549</x:v>
      </x:c>
      <x:c r="B10" s="7" t="s">
        <x:v>136</x:v>
      </x:c>
      <x:c r="C10" s="7" t="s">
        <x:v>117</x:v>
      </x:c>
    </x:row>
    <x:row r="11">
      <x:c r="A11" t="s">
        <x:v>550</x:v>
      </x:c>
      <x:c r="B11" s="7" t="s">
        <x:v>138</x:v>
      </x:c>
      <x:c r="C11" s="7" t="s">
        <x:v>117</x:v>
      </x:c>
    </x:row>
    <x:row r="12">
      <x:c r="A12" t="s">
        <x:v>551</x:v>
      </x:c>
      <x:c r="B12" s="7" t="s">
        <x:v>140</x:v>
      </x:c>
      <x:c r="C12" s="7" t="s">
        <x:v>117</x:v>
      </x:c>
    </x:row>
    <x:row r="13">
      <x:c r="A13" t="s">
        <x:v>552</x:v>
      </x:c>
      <x:c r="B13" s="7" t="s">
        <x:v>143</x:v>
      </x:c>
      <x:c r="C13" s="7" t="s">
        <x:v>117</x:v>
      </x:c>
    </x:row>
    <x:row r="14">
      <x:c r="A14" t="s">
        <x:v>553</x:v>
      </x:c>
      <x:c r="B14" s="7" t="s">
        <x:v>146</x:v>
      </x:c>
      <x:c r="C14" s="7" t="s">
        <x:v>117</x:v>
      </x:c>
    </x:row>
    <x:row r="15">
      <x:c r="A15" t="s">
        <x:v>554</x:v>
      </x:c>
      <x:c r="B15" s="7" t="s">
        <x:v>149</x:v>
      </x:c>
      <x:c r="C15" s="7" t="s">
        <x:v>117</x:v>
      </x:c>
    </x:row>
    <x:row r="16">
      <x:c r="A16" t="s">
        <x:v>555</x:v>
      </x:c>
      <x:c r="B16" s="7" t="s">
        <x:v>152</x:v>
      </x:c>
      <x:c r="C16" s="7" t="s">
        <x:v>117</x:v>
      </x:c>
    </x:row>
    <x:row r="17">
      <x:c r="A17" t="s">
        <x:v>556</x:v>
      </x:c>
      <x:c r="B17" s="7" t="s">
        <x:v>154</x:v>
      </x:c>
      <x:c r="C17" s="7" t="s">
        <x:v>117</x:v>
      </x:c>
    </x:row>
    <x:row r="18">
      <x:c r="A18" t="s">
        <x:v>557</x:v>
      </x:c>
      <x:c r="B18" s="7" t="s">
        <x:v>156</x:v>
      </x:c>
      <x:c r="C18" s="7" t="s">
        <x:v>117</x:v>
      </x:c>
    </x:row>
    <x:row r="19">
      <x:c r="A19" t="s">
        <x:v>558</x:v>
      </x:c>
      <x:c r="B19" s="7" t="s">
        <x:v>158</x:v>
      </x:c>
      <x:c r="C19" s="7" t="s">
        <x:v>117</x:v>
      </x:c>
    </x:row>
    <x:row r="20">
      <x:c r="A20" t="s">
        <x:v>559</x:v>
      </x:c>
      <x:c r="B20" s="7" t="s">
        <x:v>160</x:v>
      </x:c>
      <x:c r="C20" s="7" t="s">
        <x:v>117</x:v>
      </x:c>
    </x:row>
    <x:row r="21">
      <x:c r="A21" t="s">
        <x:v>560</x:v>
      </x:c>
      <x:c r="B21" s="7" t="s">
        <x:v>162</x:v>
      </x:c>
      <x:c r="C21" s="7" t="s">
        <x:v>117</x:v>
      </x:c>
    </x:row>
    <x:row r="22">
      <x:c r="A22" t="s">
        <x:v>561</x:v>
      </x:c>
      <x:c r="B22" s="7" t="s">
        <x:v>164</x:v>
      </x:c>
      <x:c r="C22" s="7" t="s">
        <x:v>117</x:v>
      </x:c>
    </x:row>
    <x:row r="23">
      <x:c r="A23" t="s">
        <x:v>562</x:v>
      </x:c>
      <x:c r="B23" s="7" t="s">
        <x:v>166</x:v>
      </x:c>
      <x:c r="C23" s="7" t="s">
        <x:v>117</x:v>
      </x:c>
    </x:row>
    <x:row r="24">
      <x:c r="A24" t="s">
        <x:v>563</x:v>
      </x:c>
      <x:c r="B24" s="7" t="s">
        <x:v>168</x:v>
      </x:c>
      <x:c r="C24" s="7" t="s">
        <x:v>117</x:v>
      </x:c>
    </x:row>
    <x:row r="25">
      <x:c r="A25" t="s">
        <x:v>564</x:v>
      </x:c>
      <x:c r="B25" s="7" t="s">
        <x:v>170</x:v>
      </x:c>
      <x:c r="C25" s="7" t="s">
        <x:v>117</x:v>
      </x:c>
    </x:row>
    <x:row r="26">
      <x:c r="A26" t="s">
        <x:v>565</x:v>
      </x:c>
      <x:c r="B26" s="7" t="s">
        <x:v>172</x:v>
      </x:c>
      <x:c r="C26" s="7" t="s">
        <x:v>117</x:v>
      </x:c>
    </x:row>
    <x:row r="27">
      <x:c r="A27" t="s">
        <x:v>566</x:v>
      </x:c>
      <x:c r="B27" s="7" t="s">
        <x:v>174</x:v>
      </x:c>
      <x:c r="C27" s="7" t="s">
        <x:v>117</x:v>
      </x:c>
    </x:row>
    <x:row r="28">
      <x:c r="A28" t="s">
        <x:v>567</x:v>
      </x:c>
      <x:c r="B28" s="7" t="s">
        <x:v>176</x:v>
      </x:c>
      <x:c r="C28" s="7" t="s">
        <x:v>117</x:v>
      </x:c>
    </x:row>
    <x:row r="29">
      <x:c r="A29" t="s">
        <x:v>568</x:v>
      </x:c>
      <x:c r="B29" s="7" t="s">
        <x:v>179</x:v>
      </x:c>
      <x:c r="C29" s="7" t="s">
        <x:v>117</x:v>
      </x:c>
    </x:row>
    <x:row r="30">
      <x:c r="A30" t="s">
        <x:v>569</x:v>
      </x:c>
      <x:c r="B30" s="7" t="s">
        <x:v>181</x:v>
      </x:c>
      <x:c r="C30" s="7" t="s">
        <x:v>117</x:v>
      </x:c>
    </x:row>
    <x:row r="31">
      <x:c r="A31" t="s">
        <x:v>570</x:v>
      </x:c>
      <x:c r="B31" s="7" t="s">
        <x:v>183</x:v>
      </x:c>
      <x:c r="C31" s="7" t="s">
        <x:v>117</x:v>
      </x:c>
    </x:row>
    <x:row r="32">
      <x:c r="A32" t="s">
        <x:v>571</x:v>
      </x:c>
      <x:c r="B32" s="7" t="s">
        <x:v>185</x:v>
      </x:c>
      <x:c r="C32" s="7" t="s">
        <x:v>117</x:v>
      </x:c>
    </x:row>
    <x:row r="33">
      <x:c r="A33" t="s">
        <x:v>572</x:v>
      </x:c>
      <x:c r="B33" s="7" t="s">
        <x:v>187</x:v>
      </x:c>
      <x:c r="C33" s="7" t="s">
        <x:v>117</x:v>
      </x:c>
    </x:row>
    <x:row r="34">
      <x:c r="A34" t="s">
        <x:v>573</x:v>
      </x:c>
      <x:c r="B34" s="7" t="s">
        <x:v>189</x:v>
      </x:c>
      <x:c r="C34" s="7" t="s">
        <x:v>117</x:v>
      </x:c>
    </x:row>
    <x:row r="35">
      <x:c r="A35" t="s">
        <x:v>574</x:v>
      </x:c>
      <x:c r="B35" s="7" t="s">
        <x:v>191</x:v>
      </x:c>
      <x:c r="C35" s="7" t="s">
        <x:v>117</x:v>
      </x:c>
    </x:row>
    <x:row r="36">
      <x:c r="A36" t="s">
        <x:v>575</x:v>
      </x:c>
      <x:c r="B36" s="7" t="s">
        <x:v>193</x:v>
      </x:c>
      <x:c r="C36" s="7" t="s">
        <x:v>117</x:v>
      </x:c>
    </x:row>
    <x:row r="37">
      <x:c r="A37" t="s">
        <x:v>576</x:v>
      </x:c>
      <x:c r="B37" s="7" t="s">
        <x:v>195</x:v>
      </x:c>
      <x:c r="C37" s="7" t="s">
        <x:v>117</x:v>
      </x:c>
    </x:row>
    <x:row r="38">
      <x:c r="A38" t="s">
        <x:v>577</x:v>
      </x:c>
      <x:c r="B38" s="7" t="s">
        <x:v>197</x:v>
      </x:c>
      <x:c r="C38" s="7" t="s">
        <x:v>117</x:v>
      </x:c>
    </x:row>
    <x:row r="39">
      <x:c r="A39" t="s">
        <x:v>578</x:v>
      </x:c>
      <x:c r="B39" s="7" t="s">
        <x:v>199</x:v>
      </x:c>
      <x:c r="C39" s="7" t="s">
        <x:v>117</x:v>
      </x:c>
    </x:row>
    <x:row r="40">
      <x:c r="A40" t="s">
        <x:v>579</x:v>
      </x:c>
      <x:c r="B40" s="7" t="s">
        <x:v>201</x:v>
      </x:c>
      <x:c r="C40" s="7" t="s">
        <x:v>117</x:v>
      </x:c>
    </x:row>
    <x:row r="41">
      <x:c r="A41" t="s">
        <x:v>580</x:v>
      </x:c>
      <x:c r="B41" s="7" t="s">
        <x:v>203</x:v>
      </x:c>
      <x:c r="C41" s="7" t="s">
        <x:v>117</x:v>
      </x:c>
    </x:row>
    <x:row r="42">
      <x:c r="A42" t="s">
        <x:v>581</x:v>
      </x:c>
      <x:c r="B42" s="7" t="s">
        <x:v>206</x:v>
      </x:c>
      <x:c r="C42" s="7" t="s">
        <x:v>117</x:v>
      </x:c>
    </x:row>
    <x:row r="43">
      <x:c r="A43" t="s">
        <x:v>582</x:v>
      </x:c>
      <x:c r="B43" s="7" t="s">
        <x:v>208</x:v>
      </x:c>
      <x:c r="C43" s="7" t="s">
        <x:v>117</x:v>
      </x:c>
    </x:row>
    <x:row r="44">
      <x:c r="A44" t="s">
        <x:v>583</x:v>
      </x:c>
      <x:c r="B44" s="7" t="s">
        <x:v>210</x:v>
      </x:c>
      <x:c r="C44" s="7" t="s">
        <x:v>117</x:v>
      </x:c>
    </x:row>
    <x:row r="45">
      <x:c r="A45" t="s">
        <x:v>584</x:v>
      </x:c>
      <x:c r="B45" s="7" t="s">
        <x:v>212</x:v>
      </x:c>
      <x:c r="C45" s="7" t="s">
        <x:v>117</x:v>
      </x:c>
    </x:row>
    <x:row r="46">
      <x:c r="A46" t="s">
        <x:v>585</x:v>
      </x:c>
      <x:c r="B46" s="7" t="s">
        <x:v>214</x:v>
      </x:c>
      <x:c r="C46" s="7" t="s">
        <x:v>117</x:v>
      </x:c>
    </x:row>
    <x:row r="47">
      <x:c r="A47" t="s">
        <x:v>586</x:v>
      </x:c>
      <x:c r="B47" s="7" t="s">
        <x:v>216</x:v>
      </x:c>
      <x:c r="C47" s="7" t="s">
        <x:v>117</x:v>
      </x:c>
    </x:row>
    <x:row r="48">
      <x:c r="A48" t="s">
        <x:v>587</x:v>
      </x:c>
      <x:c r="B48" s="7" t="s">
        <x:v>218</x:v>
      </x:c>
      <x:c r="C48" s="7" t="s">
        <x:v>117</x:v>
      </x:c>
    </x:row>
    <x:row r="49">
      <x:c r="A49" t="s">
        <x:v>588</x:v>
      </x:c>
      <x:c r="B49" s="7" t="s">
        <x:v>220</x:v>
      </x:c>
      <x:c r="C49" s="7" t="s">
        <x:v>117</x:v>
      </x:c>
    </x:row>
    <x:row r="50">
      <x:c r="A50" t="s">
        <x:v>589</x:v>
      </x:c>
      <x:c r="B50" s="7" t="s">
        <x:v>222</x:v>
      </x:c>
      <x:c r="C50" s="7" t="s">
        <x:v>117</x:v>
      </x:c>
    </x:row>
    <x:row r="51">
      <x:c r="A51" t="s">
        <x:v>590</x:v>
      </x:c>
      <x:c r="B51" s="7" t="s">
        <x:v>224</x:v>
      </x:c>
      <x:c r="C51" s="7" t="s">
        <x:v>117</x:v>
      </x:c>
    </x:row>
    <x:row r="52">
      <x:c r="A52" t="s">
        <x:v>591</x:v>
      </x:c>
      <x:c r="B52" s="7" t="s">
        <x:v>226</x:v>
      </x:c>
      <x:c r="C52" s="7" t="s">
        <x:v>117</x:v>
      </x:c>
    </x:row>
    <x:row r="53">
      <x:c r="A53" t="s">
        <x:v>592</x:v>
      </x:c>
      <x:c r="B53" s="7" t="s">
        <x:v>228</x:v>
      </x:c>
      <x:c r="C53" s="7" t="s">
        <x:v>117</x:v>
      </x:c>
    </x:row>
    <x:row r="54">
      <x:c r="A54" t="s">
        <x:v>593</x:v>
      </x:c>
      <x:c r="B54" s="7" t="s">
        <x:v>85</x:v>
      </x:c>
      <x:c r="C54" s="7" t="s">
        <x:v>594</x:v>
      </x:c>
    </x:row>
    <x:row r="55">
      <x:c r="A55" t="s">
        <x:v>595</x:v>
      </x:c>
      <x:c r="B55" s="7" t="s">
        <x:v>88</x:v>
      </x:c>
      <x:c r="C55" s="7" t="s">
        <x:v>594</x:v>
      </x:c>
    </x:row>
    <x:row r="56">
      <x:c r="A56" t="s">
        <x:v>596</x:v>
      </x:c>
      <x:c r="B56" s="7" t="s">
        <x:v>90</x:v>
      </x:c>
      <x:c r="C56" s="7" t="s">
        <x:v>594</x:v>
      </x:c>
    </x:row>
    <x:row r="57">
      <x:c r="A57" t="s">
        <x:v>597</x:v>
      </x:c>
      <x:c r="B57" s="7" t="s">
        <x:v>92</x:v>
      </x:c>
      <x:c r="C57" s="7" t="s">
        <x:v>594</x:v>
      </x:c>
    </x:row>
    <x:row r="58">
      <x:c r="A58" t="s">
        <x:v>598</x:v>
      </x:c>
      <x:c r="B58" s="7" t="s">
        <x:v>94</x:v>
      </x:c>
      <x:c r="C58" s="7" t="s">
        <x:v>594</x:v>
      </x:c>
    </x:row>
    <x:row r="59">
      <x:c r="A59" t="s">
        <x:v>599</x:v>
      </x:c>
      <x:c r="B59" s="7" t="s">
        <x:v>96</x:v>
      </x:c>
      <x:c r="C59" s="7" t="s">
        <x:v>594</x:v>
      </x:c>
    </x:row>
    <x:row r="60">
      <x:c r="A60" t="s">
        <x:v>600</x:v>
      </x:c>
      <x:c r="B60" s="7" t="s">
        <x:v>99</x:v>
      </x:c>
      <x:c r="C60" s="7" t="s">
        <x:v>594</x:v>
      </x:c>
    </x:row>
    <x:row r="61">
      <x:c r="A61" t="s">
        <x:v>601</x:v>
      </x:c>
      <x:c r="B61" s="7" t="s">
        <x:v>101</x:v>
      </x:c>
      <x:c r="C61" s="7" t="s">
        <x:v>594</x:v>
      </x:c>
    </x:row>
    <x:row r="62">
      <x:c r="A62" t="s">
        <x:v>602</x:v>
      </x:c>
      <x:c r="B62" s="7" t="s">
        <x:v>103</x:v>
      </x:c>
      <x:c r="C62" s="7" t="s">
        <x:v>594</x:v>
      </x:c>
    </x:row>
    <x:row r="63">
      <x:c r="A63" t="s">
        <x:v>603</x:v>
      </x:c>
      <x:c r="B63" s="7" t="s">
        <x:v>105</x:v>
      </x:c>
      <x:c r="C63" s="7" t="s">
        <x:v>594</x:v>
      </x:c>
    </x:row>
    <x:row r="64">
      <x:c r="A64" t="s">
        <x:v>604</x:v>
      </x:c>
      <x:c r="B64" s="7" t="s">
        <x:v>107</x:v>
      </x:c>
      <x:c r="C64" s="7" t="s">
        <x:v>594</x:v>
      </x:c>
    </x:row>
    <x:row r="65">
      <x:c r="A65" t="s">
        <x:v>605</x:v>
      </x:c>
      <x:c r="B65" s="7" t="s">
        <x:v>238</x:v>
      </x:c>
      <x:c r="C65" s="7" t="s">
        <x:v>606</x:v>
      </x:c>
    </x:row>
    <x:row r="66">
      <x:c r="A66" t="s">
        <x:v>607</x:v>
      </x:c>
      <x:c r="B66" s="7" t="s">
        <x:v>243</x:v>
      </x:c>
      <x:c r="C66" s="7" t="s">
        <x:v>606</x:v>
      </x:c>
    </x:row>
    <x:row r="67">
      <x:c r="A67" t="s">
        <x:v>608</x:v>
      </x:c>
      <x:c r="B67" s="7" t="s">
        <x:v>248</x:v>
      </x:c>
      <x:c r="C67" s="7" t="s">
        <x:v>606</x:v>
      </x:c>
    </x:row>
    <x:row r="68">
      <x:c r="A68" t="s">
        <x:v>609</x:v>
      </x:c>
      <x:c r="B68" s="7" t="s">
        <x:v>253</x:v>
      </x:c>
      <x:c r="C68" s="7" t="s">
        <x:v>606</x:v>
      </x:c>
    </x:row>
    <x:row r="69">
      <x:c r="A69" t="s">
        <x:v>610</x:v>
      </x:c>
      <x:c r="B69" s="7" t="s">
        <x:v>258</x:v>
      </x:c>
      <x:c r="C69" s="7" t="s">
        <x:v>606</x:v>
      </x:c>
    </x:row>
    <x:row r="70">
      <x:c r="A70" t="s">
        <x:v>611</x:v>
      </x:c>
      <x:c r="B70" s="7" t="s">
        <x:v>263</x:v>
      </x:c>
      <x:c r="C70" s="7" t="s">
        <x:v>606</x:v>
      </x:c>
    </x:row>
    <x:row r="71">
      <x:c r="A71" t="s">
        <x:v>612</x:v>
      </x:c>
      <x:c r="B71" s="7" t="s">
        <x:v>268</x:v>
      </x:c>
      <x:c r="C71" s="7" t="s">
        <x:v>606</x:v>
      </x:c>
    </x:row>
    <x:row r="72">
      <x:c r="A72" t="s">
        <x:v>613</x:v>
      </x:c>
      <x:c r="B72" s="7" t="s">
        <x:v>273</x:v>
      </x:c>
      <x:c r="C72" s="7" t="s">
        <x:v>606</x:v>
      </x:c>
    </x:row>
    <x:row r="73">
      <x:c r="A73" t="s">
        <x:v>614</x:v>
      </x:c>
      <x:c r="B73" s="7" t="s">
        <x:v>615</x:v>
      </x:c>
      <x:c r="C73" s="7" t="s">
        <x:v>606</x:v>
      </x:c>
    </x:row>
    <x:row r="74">
      <x:c r="A74" t="s">
        <x:v>616</x:v>
      </x:c>
      <x:c r="B74" s="7" t="s">
        <x:v>617</x:v>
      </x:c>
      <x:c r="C74" s="7" t="s">
        <x:v>606</x:v>
      </x:c>
    </x:row>
    <x:row r="75">
      <x:c r="A75" t="s">
        <x:v>618</x:v>
      </x:c>
      <x:c r="B75" s="7" t="s">
        <x:v>619</x:v>
      </x:c>
      <x:c r="C75" s="7" t="s">
        <x:v>606</x:v>
      </x:c>
    </x:row>
    <x:row r="76">
      <x:c r="A76" t="s">
        <x:v>620</x:v>
      </x:c>
      <x:c r="B76" s="7" t="s">
        <x:v>621</x:v>
      </x:c>
      <x:c r="C76" s="7" t="s">
        <x:v>606</x:v>
      </x:c>
    </x:row>
    <x:row r="77">
      <x:c r="A77" t="s">
        <x:v>622</x:v>
      </x:c>
      <x:c r="B77" s="7" t="s">
        <x:v>623</x:v>
      </x:c>
      <x:c r="C77" s="7" t="s">
        <x:v>606</x:v>
      </x:c>
    </x:row>
    <x:row r="78">
      <x:c r="A78" t="s">
        <x:v>624</x:v>
      </x:c>
      <x:c r="B78" s="7" t="s">
        <x:v>625</x:v>
      </x:c>
      <x:c r="C78" s="7" t="s">
        <x:v>606</x:v>
      </x:c>
    </x:row>
    <x:row r="79">
      <x:c r="A79" t="s">
        <x:v>626</x:v>
      </x:c>
      <x:c r="B79" s="7" t="s">
        <x:v>627</x:v>
      </x:c>
      <x:c r="C79" s="7" t="s">
        <x:v>606</x:v>
      </x:c>
    </x:row>
    <x:row r="80">
      <x:c r="A80" t="s">
        <x:v>628</x:v>
      </x:c>
      <x:c r="B80" s="7" t="s">
        <x:v>629</x:v>
      </x:c>
      <x:c r="C80" s="7" t="s">
        <x:v>606</x:v>
      </x:c>
    </x:row>
    <x:row r="81">
      <x:c r="A81" t="s">
        <x:v>630</x:v>
      </x:c>
      <x:c r="B81" s="7" t="s">
        <x:v>631</x:v>
      </x:c>
      <x:c r="C81" s="7" t="s">
        <x:v>632</x:v>
      </x:c>
    </x:row>
    <x:row r="82">
      <x:c r="A82" t="s">
        <x:v>633</x:v>
      </x:c>
      <x:c r="B82" s="7" t="s">
        <x:v>634</x:v>
      </x:c>
      <x:c r="C82" s="7" t="s">
        <x:v>632</x:v>
      </x:c>
    </x:row>
    <x:row r="83">
      <x:c r="A83" t="s">
        <x:v>635</x:v>
      </x:c>
      <x:c r="B83" s="7" t="s">
        <x:v>636</x:v>
      </x:c>
      <x:c r="C83" s="7" t="s">
        <x:v>632</x:v>
      </x:c>
    </x:row>
    <x:row r="84">
      <x:c r="A84" t="s">
        <x:v>637</x:v>
      </x:c>
      <x:c r="B84" s="7" t="s">
        <x:v>638</x:v>
      </x:c>
      <x:c r="C84" s="7" t="s">
        <x:v>632</x:v>
      </x:c>
    </x:row>
    <x:row r="85">
      <x:c r="A85" t="s">
        <x:v>639</x:v>
      </x:c>
      <x:c r="B85" s="7" t="s">
        <x:v>640</x:v>
      </x:c>
      <x:c r="C85" s="7" t="s">
        <x:v>632</x:v>
      </x:c>
    </x:row>
    <x:row r="86">
      <x:c r="A86" t="s">
        <x:v>641</x:v>
      </x:c>
      <x:c r="B86" s="7" t="s">
        <x:v>642</x:v>
      </x:c>
      <x:c r="C86" s="7" t="s">
        <x:v>632</x:v>
      </x:c>
    </x:row>
    <x:row r="87">
      <x:c r="A87" t="s">
        <x:v>643</x:v>
      </x:c>
      <x:c r="B87" s="7" t="s">
        <x:v>644</x:v>
      </x:c>
      <x:c r="C87" s="7" t="s">
        <x:v>632</x:v>
      </x:c>
    </x:row>
    <x:row r="88">
      <x:c r="A88" t="s">
        <x:v>645</x:v>
      </x:c>
      <x:c r="B88" s="7" t="s">
        <x:v>646</x:v>
      </x:c>
      <x:c r="C88" s="7" t="s">
        <x:v>632</x:v>
      </x:c>
    </x:row>
    <x:row r="89">
      <x:c r="A89" t="s">
        <x:v>647</x:v>
      </x:c>
      <x:c r="B89" s="7" t="s">
        <x:v>648</x:v>
      </x:c>
      <x:c r="C89" s="7" t="s">
        <x:v>649</x:v>
      </x:c>
    </x:row>
    <x:row r="90">
      <x:c r="A90" t="s">
        <x:v>650</x:v>
      </x:c>
      <x:c r="B90" s="7" t="s">
        <x:v>651</x:v>
      </x:c>
      <x:c r="C90" s="7" t="s">
        <x:v>649</x:v>
      </x:c>
    </x:row>
    <x:row r="91">
      <x:c r="A91" t="s">
        <x:v>652</x:v>
      </x:c>
      <x:c r="B91" s="7" t="s">
        <x:v>653</x:v>
      </x:c>
      <x:c r="C91" s="7" t="s">
        <x:v>649</x:v>
      </x:c>
    </x:row>
    <x:row r="92">
      <x:c r="A92" t="s">
        <x:v>654</x:v>
      </x:c>
      <x:c r="B92" s="7" t="s">
        <x:v>655</x:v>
      </x:c>
      <x:c r="C92" s="7" t="s">
        <x:v>649</x:v>
      </x:c>
    </x:row>
    <x:row r="93">
      <x:c r="A93" t="s">
        <x:v>656</x:v>
      </x:c>
      <x:c r="B93" s="7" t="s">
        <x:v>657</x:v>
      </x:c>
      <x:c r="C93" s="7" t="s">
        <x:v>649</x:v>
      </x:c>
    </x:row>
    <x:row r="94">
      <x:c r="A94" t="s">
        <x:v>658</x:v>
      </x:c>
      <x:c r="B94" s="7" t="s">
        <x:v>659</x:v>
      </x:c>
      <x:c r="C94" s="7" t="s">
        <x:v>649</x:v>
      </x:c>
    </x:row>
    <x:row r="95">
      <x:c r="A95" t="s">
        <x:v>660</x:v>
      </x:c>
      <x:c r="B95" s="7" t="s">
        <x:v>47</x:v>
      </x:c>
      <x:c r="C95" s="7" t="s">
        <x:v>661</x:v>
      </x:c>
    </x:row>
    <x:row r="96">
      <x:c r="A96" t="s">
        <x:v>662</x:v>
      </x:c>
      <x:c r="B96" s="7" t="s">
        <x:v>52</x:v>
      </x:c>
      <x:c r="C96" s="7" t="s">
        <x:v>661</x:v>
      </x:c>
    </x:row>
    <x:row r="97">
      <x:c r="A97" t="s">
        <x:v>663</x:v>
      </x:c>
      <x:c r="B97" s="7" t="s">
        <x:v>54</x:v>
      </x:c>
      <x:c r="C97" s="7" t="s">
        <x:v>661</x:v>
      </x:c>
    </x:row>
    <x:row r="98">
      <x:c r="A98" t="s">
        <x:v>664</x:v>
      </x:c>
      <x:c r="B98" s="7" t="s">
        <x:v>60</x:v>
      </x:c>
      <x:c r="C98" s="7" t="s">
        <x:v>661</x:v>
      </x:c>
    </x:row>
    <x:row r="99">
      <x:c r="A99" t="s">
        <x:v>665</x:v>
      </x:c>
      <x:c r="B99" s="7" t="s">
        <x:v>62</x:v>
      </x:c>
      <x:c r="C99" s="7" t="s">
        <x:v>661</x:v>
      </x:c>
    </x:row>
    <x:row r="100">
      <x:c r="A100" t="s">
        <x:v>666</x:v>
      </x:c>
      <x:c r="B100" s="7" t="s">
        <x:v>64</x:v>
      </x:c>
      <x:c r="C100" s="7" t="s">
        <x:v>661</x:v>
      </x:c>
    </x:row>
    <x:row r="101">
      <x:c r="A101" t="s">
        <x:v>667</x:v>
      </x:c>
      <x:c r="B101" s="7" t="s">
        <x:v>68</x:v>
      </x:c>
      <x:c r="C101" s="7" t="s">
        <x:v>661</x:v>
      </x:c>
    </x:row>
    <x:row r="102">
      <x:c r="A102" t="s">
        <x:v>668</x:v>
      </x:c>
      <x:c r="B102" s="7" t="s">
        <x:v>70</x:v>
      </x:c>
      <x:c r="C102" s="7" t="s">
        <x:v>661</x:v>
      </x:c>
    </x:row>
    <x:row r="103">
      <x:c r="A103" t="s">
        <x:v>669</x:v>
      </x:c>
      <x:c r="B103" s="7" t="s">
        <x:v>72</x:v>
      </x:c>
      <x:c r="C103" s="7" t="s">
        <x:v>661</x:v>
      </x:c>
    </x:row>
    <x:row r="104">
      <x:c r="A104" t="s">
        <x:v>670</x:v>
      </x:c>
      <x:c r="B104" s="7" t="s">
        <x:v>76</x:v>
      </x:c>
      <x:c r="C104" s="7" t="s">
        <x:v>661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24" hidden="0" customWidth="1"/>
    <x:col min="5" max="5" width="22" hidden="0" customWidth="1"/>
    <x:col min="6" max="6" width="22" hidden="0" customWidth="1"/>
    <x:col min="7" max="7" width="14" hidden="0" customWidth="1"/>
    <x:col min="8" max="8" width="24" hidden="0" customWidth="1"/>
  </x:cols>
  <x:sheetData>
    <x:row r="1" ht="21.600000381469727" hidden="0" customHeight="1">
      <x:c r="A1" s="32" t="str">
        <x:v>《人格牌》标准化配置与数值审计</x:v>
      </x:c>
      <x:c r="B1" s="32"/>
      <x:c r="C1" s="32"/>
      <x:c r="D1" s="32"/>
      <x:c r="E1" s="32"/>
      <x:c r="F1" s="32"/>
      <x:c r="G1" s="32"/>
      <x:c r="H1" s="32"/>
    </x:row>
    <x:row r="2" ht="15" hidden="0" customHeight="1">
      <x:c r="A2" s="36" t="str">
        <x:v>权威顺序：当前请求确认 &gt; 最新 Excel &gt; 旧表 &gt; 网页原型。建议值不会被伪装成确认值。</x:v>
      </x:c>
      <x:c r="B2" s="36"/>
      <x:c r="C2" s="36"/>
      <x:c r="D2" s="36"/>
      <x:c r="E2" s="36"/>
      <x:c r="F2" s="36"/>
      <x:c r="G2" s="36"/>
      <x:c r="H2" s="36"/>
    </x:row>
    <x:row r="3"/>
    <x:row r="4" ht="15" hidden="0" customHeight="1">
      <x:c r="A4" s="39" t="str">
        <x:v>关键结论</x:v>
      </x:c>
      <x:c r="B4" s="39"/>
      <x:c r="C4" s="39"/>
      <x:c r="D4" s="39"/>
      <x:c r="E4" s="39"/>
      <x:c r="F4" s="39"/>
      <x:c r="G4" s="39"/>
      <x:c r="H4" s="39"/>
    </x:row>
    <x:row r="5" ht="15" hidden="0" customHeight="1">
      <x:c r="A5" s="44" t="str">
        <x:v>状态</x:v>
      </x:c>
      <x:c r="B5" s="44" t="str">
        <x:v>项目</x:v>
      </x:c>
      <x:c r="C5" s="44" t="str">
        <x:v>规范化值</x:v>
      </x:c>
      <x:c r="D5" s="44" t="str">
        <x:v>原始值/来源</x:v>
      </x:c>
      <x:c r="E5" s="44" t="str">
        <x:v>实现状态</x:v>
      </x:c>
      <x:c r="F5" s="44" t="str">
        <x:v>设计解释</x:v>
      </x:c>
      <x:c r="G5" s="44" t="str">
        <x:v>风险</x:v>
      </x:c>
      <x:c r="H5" s="44" t="str">
        <x:v>后续动作</x:v>
      </x:c>
    </x:row>
    <x:row r="6" ht="24" hidden="0" customHeight="1">
      <x:c r="A6" s="54" t="str">
        <x:v>确认</x:v>
      </x:c>
      <x:c r="B6" s="50" t="str">
        <x:v>场内人格 / 副词条槽</x:v>
      </x:c>
      <x:c r="C6" s="50" t="str">
        <x:v>4 / 3</x:v>
      </x:c>
      <x:c r="D6" s="50" t="str">
        <x:v>当前请求；源表副词条槽=2</x:v>
      </x:c>
      <x:c r="E6" s="50" t="str">
        <x:v>配置已生成，培养未接入</x:v>
      </x:c>
      <x:c r="F6" s="50" t="str">
        <x:v>每张人格首槽免费，后两槽消耗金币</x:v>
      </x:c>
      <x:c r="G6" s="50" t="str">
        <x:v>源表与确认值冲突</x:v>
      </x:c>
      <x:c r="H6" s="50" t="str">
        <x:v>网页端读取 normalized JSON</x:v>
      </x:c>
    </x:row>
    <x:row r="7" ht="24" hidden="0" customHeight="1">
      <x:c r="A7" s="55" t="str">
        <x:v>确认</x:v>
      </x:c>
      <x:c r="B7" s="51" t="str">
        <x:v>第二 / 第三副词条成本</x:v>
      </x:c>
      <x:c r="C7" s="51" t="str">
        <x:v>5 / 8</x:v>
      </x:c>
      <x:c r="D7" s="51" t="str">
        <x:v>当前请求；源表=6 / 12</x:v>
      </x:c>
      <x:c r="E7" s="51" t="str">
        <x:v>NOT_IMPLEMENTED</x:v>
      </x:c>
      <x:c r="F7" s="51" t="str">
        <x:v>单人格满培养 13，四人格 52</x:v>
      </x:c>
      <x:c r="G7" s="51" t="str">
        <x:v>当前商店没有完整培养闭环</x:v>
      </x:c>
      <x:c r="H7" s="51" t="str">
        <x:v>先实现解锁与存档</x:v>
      </x:c>
    </x:row>
    <x:row r="8" ht="24" hidden="0" customHeight="1">
      <x:c r="A8" s="55" t="str">
        <x:v>确认</x:v>
      </x:c>
      <x:c r="B8" s="51" t="str">
        <x:v>产金战斗 / 基础金币</x:v>
      </x:c>
      <x:c r="C8" s="51" t="str">
        <x:v>9 场 / 54</x:v>
      </x:c>
      <x:c r="D8" s="51" t="str">
        <x:v>关卡流程：5,5,8 × 3</x:v>
      </x:c>
      <x:c r="E8" s="51" t="str">
        <x:v>CONFIG_READY_NOT_WIRED</x:v>
      </x:c>
      <x:c r="F8" s="51" t="str">
        <x:v>基础收入刚好覆盖四人格满培养</x:v>
      </x:c>
      <x:c r="G8" s="51" t="str">
        <x:v>剩余次数奖励未确认</x:v>
      </x:c>
      <x:c r="H8" s="51" t="str">
        <x:v>停用旧金币公式后接入</x:v>
      </x:c>
    </x:row>
    <x:row r="9" ht="24" hidden="0" customHeight="1">
      <x:c r="A9" s="55" t="str">
        <x:v>确认</x:v>
      </x:c>
      <x:c r="B9" s="51" t="str">
        <x:v>最终节点 / Boss 金币</x:v>
      </x:c>
      <x:c r="C9" s="51" t="str">
        <x:v>STAGE_13=BOSS / 0</x:v>
      </x:c>
      <x:c r="D9" s="51" t="str">
        <x:v>当前请求；源表写战斗/无</x:v>
      </x:c>
      <x:c r="E9" s="51" t="str">
        <x:v>CONFIG_READY_NOT_WIRED</x:v>
      </x:c>
      <x:c r="F9" s="51" t="str">
        <x:v>Boss 不参与产金</x:v>
      </x:c>
      <x:c r="G9" s="51" t="str">
        <x:v>敌人和 Boss 机制仍待策划</x:v>
      </x:c>
      <x:c r="H9" s="51" t="str">
        <x:v>保留 UNDECIDED 敌人内容</x:v>
      </x:c>
    </x:row>
    <x:row r="10"/>
    <x:row r="11" ht="15" hidden="0" customHeight="1">
      <x:c r="A11" s="57" t="str">
        <x:v>经济 KPI 与完成边界</x:v>
      </x:c>
      <x:c r="B11" s="57"/>
      <x:c r="C11" s="57"/>
      <x:c r="D11" s="57"/>
      <x:c r="E11" s="57"/>
      <x:c r="F11" s="57"/>
      <x:c r="G11" s="57"/>
      <x:c r="H11" s="57"/>
    </x:row>
    <x:row r="12" ht="15" hidden="0" customHeight="1">
      <x:c r="A12" s="44" t="str">
        <x:v>KPI</x:v>
      </x:c>
      <x:c r="B12" s="44" t="str">
        <x:v>数值</x:v>
      </x:c>
      <x:c r="C12" s="44" t="str">
        <x:v>数据角色</x:v>
      </x:c>
      <x:c r="D12" s="44" t="str">
        <x:v>公式/来源</x:v>
      </x:c>
      <x:c r="E12" s="44" t="str">
        <x:v>判断</x:v>
      </x:c>
      <x:c r="F12" s="44" t="str">
        <x:v>KPI</x:v>
      </x:c>
      <x:c r="G12" s="44" t="str">
        <x:v>数值</x:v>
      </x:c>
      <x:c r="H12" s="44" t="str">
        <x:v>判断</x:v>
      </x:c>
    </x:row>
    <x:row r="13" ht="15" hidden="0" customHeight="1">
      <x:c r="A13" s="50" t="str">
        <x:v>9 战基础金币</x:v>
      </x:c>
      <x:c r="B13" s="58" t="n">
        <x:f>'04_逐步推导'!F15</x:f>
        <x:v>54</x:v>
      </x:c>
      <x:c r="C13" s="50" t="str">
        <x:v>计算值</x:v>
      </x:c>
      <x:c r="D13" s="50" t="str">
        <x:v>SUM(产金战斗)</x:v>
      </x:c>
      <x:c r="E13" s="50" t="str">
        <x:v>覆盖四人格培养</x:v>
      </x:c>
      <x:c r="F13" s="50" t="str">
        <x:v>四人格满培养</x:v>
      </x:c>
      <x:c r="G13" s="58" t="n">
        <x:f>'04_逐步推导'!F11</x:f>
        <x:v>52</x:v>
      </x:c>
      <x:c r="H13" s="50" t="str">
        <x:v>基础收入剩余 2</x:v>
      </x:c>
    </x:row>
    <x:row r="14" ht="15" hidden="0" customHeight="1">
      <x:c r="A14" s="51" t="str">
        <x:v>建议毛收入上限</x:v>
      </x:c>
      <x:c r="B14" s="59" t="n">
        <x:f>'04_逐步推导'!F17</x:f>
        <x:v>72</x:v>
      </x:c>
      <x:c r="C14" s="51" t="str">
        <x:v>建议推导</x:v>
      </x:c>
      <x:c r="D14" s="51" t="str">
        <x:v>54 + 9×2</x:v>
      </x:c>
      <x:c r="E14" s="51" t="str">
        <x:v>可多培养 1 个换入人格</x:v>
      </x:c>
      <x:c r="F14" s="51" t="str">
        <x:v>+1 人格满培养</x:v>
      </x:c>
      <x:c r="G14" s="59" t="n">
        <x:f>'04_逐步推导'!F12</x:f>
        <x:v>65</x:v>
      </x:c>
      <x:c r="H14" s="51" t="str">
        <x:v>正常/高手边界</x:v>
      </x:c>
    </x:row>
    <x:row r="15" ht="15" hidden="0" customHeight="1">
      <x:c r="A15" s="51" t="str">
        <x:v>两次替换满培养</x:v>
      </x:c>
      <x:c r="B15" s="59" t="n">
        <x:f>'04_逐步推导'!F13</x:f>
        <x:v>78</x:v>
      </x:c>
      <x:c r="C15" s="51" t="str">
        <x:v>计算值</x:v>
      </x:c>
      <x:c r="D15" s="51" t="str">
        <x:v>6×13</x:v>
      </x:c>
      <x:c r="E15" s="51" t="str">
        <x:v>高于建议上限</x:v>
      </x:c>
      <x:c r="F15" s="51" t="str">
        <x:v>三次替换满培养</x:v>
      </x:c>
      <x:c r="G15" s="59" t="n">
        <x:f>'04_逐步推导'!F14</x:f>
        <x:v>91</x:v>
      </x:c>
      <x:c r="H15" s="51" t="str">
        <x:v>不会无脑全养满</x:v>
      </x:c>
    </x:row>
    <x:row r="16" ht="15" hidden="0" customHeight="1">
      <x:c r="A16" s="51" t="str">
        <x:v>原始冲突</x:v>
      </x:c>
      <x:c r="B16" s="59" t="n">
        <x:v>21</x:v>
      </x:c>
      <x:c r="C16" s="51" t="str">
        <x:v>观测值</x:v>
      </x:c>
      <x:c r="D16" s="51" t="str">
        <x:v>conflicts[]</x:v>
      </x:c>
      <x:c r="E16" s="51" t="str">
        <x:v>必须逐项留痕</x:v>
      </x:c>
      <x:c r="F16" s="51" t="str">
        <x:v>原始错误/警告</x:v>
      </x:c>
      <x:c r="G16" s="59" t="n">
        <x:v>25</x:v>
      </x:c>
      <x:c r="H16" s="51" t="str">
        <x:v>导入前必须审计</x:v>
      </x:c>
    </x:row>
    <x:row r="17" ht="15" hidden="0" customHeight="1">
      <x:c r="A17" s="51" t="str">
        <x:v>未实现重点</x:v>
      </x:c>
      <x:c r="B17" s="59" t="n">
        <x:v>3</x:v>
      </x:c>
      <x:c r="C17" s="51" t="str">
        <x:v>观测值</x:v>
      </x:c>
      <x:c r="D17" s="51" t="str">
        <x:v>培养/正式商店/永久收藏</x:v>
      </x:c>
      <x:c r="E17" s="51" t="str">
        <x:v>网页端仅有骨架</x:v>
      </x:c>
      <x:c r="F17" s="51" t="str">
        <x:v>Schema</x:v>
      </x:c>
      <x:c r="G17" s="59" t="str">
        <x:v>Draft 2020-12</x:v>
      </x:c>
      <x:c r="H17" s="51" t="str">
        <x:v>已生成</x:v>
      </x:c>
    </x:row>
    <x:row r="18"/>
    <x:row r="19" ht="15" hidden="0" customHeight="1">
      <x:c r="A19" s="39" t="str">
        <x:v>收入节奏与培养成本对比</x:v>
      </x:c>
      <x:c r="B19" s="39"/>
      <x:c r="C19" s="39"/>
      <x:c r="D19" s="39"/>
      <x:c r="E19" s="39"/>
      <x:c r="F19" s="39"/>
      <x:c r="G19" s="39"/>
      <x:c r="H19" s="39"/>
    </x:row>
    <x:row r="20" ht="15" hidden="0" customHeight="1">
      <x:c r="A20" s="44" t="str">
        <x:v>比较项</x:v>
      </x:c>
      <x:c r="B20" s="44" t="str">
        <x:v>金币</x:v>
      </x:c>
    </x:row>
    <x:row r="21" ht="15" hidden="0" customHeight="1">
      <x:c r="A21" s="50" t="str">
        <x:v>AI1 基础累计</x:v>
      </x:c>
      <x:c r="B21" s="58" t="n">
        <x:f>'06_奖励与消耗'!C26</x:f>
        <x:v>18</x:v>
      </x:c>
    </x:row>
    <x:row r="22" ht="15" hidden="0" customHeight="1">
      <x:c r="A22" s="51" t="str">
        <x:v>AI1 建议上限</x:v>
      </x:c>
      <x:c r="B22" s="59" t="n">
        <x:f>'06_奖励与消耗'!E26</x:f>
        <x:v>24</x:v>
      </x:c>
    </x:row>
    <x:row r="23" ht="15" hidden="0" customHeight="1">
      <x:c r="A23" s="51" t="str">
        <x:v>AI2 基础累计</x:v>
      </x:c>
      <x:c r="B23" s="59" t="n">
        <x:f>'06_奖励与消耗'!C27</x:f>
        <x:v>36</x:v>
      </x:c>
    </x:row>
    <x:row r="24" ht="15" hidden="0" customHeight="1">
      <x:c r="A24" s="51" t="str">
        <x:v>AI2 建议上限</x:v>
      </x:c>
      <x:c r="B24" s="59" t="n">
        <x:f>'06_奖励与消耗'!E27</x:f>
        <x:v>48</x:v>
      </x:c>
    </x:row>
    <x:row r="25" ht="15" hidden="0" customHeight="1">
      <x:c r="A25" s="51" t="str">
        <x:v>AI3 基础累计</x:v>
      </x:c>
      <x:c r="B25" s="59" t="n">
        <x:f>'06_奖励与消耗'!C28</x:f>
        <x:v>54</x:v>
      </x:c>
    </x:row>
    <x:row r="26" ht="15" hidden="0" customHeight="1">
      <x:c r="A26" s="51" t="str">
        <x:v>AI3 建议上限</x:v>
      </x:c>
      <x:c r="B26" s="59" t="n">
        <x:f>'06_奖励与消耗'!E28</x:f>
        <x:v>72</x:v>
      </x:c>
    </x:row>
    <x:row r="27" ht="15" hidden="0" customHeight="1">
      <x:c r="A27" s="51" t="str">
        <x:v>四人格满培养</x:v>
      </x:c>
      <x:c r="B27" s="59" t="n">
        <x:f>'04_逐步推导'!F11</x:f>
        <x:v>52</x:v>
      </x:c>
    </x:row>
    <x:row r="28" ht="15" hidden="0" customHeight="1">
      <x:c r="A28" s="51" t="str">
        <x:v>+1 人格满培养</x:v>
      </x:c>
      <x:c r="B28" s="59" t="n">
        <x:f>'04_逐步推导'!F12</x:f>
        <x:v>65</x:v>
      </x:c>
    </x:row>
    <x:row r="29" ht="15" hidden="0" customHeight="1">
      <x:c r="A29" s="51" t="str">
        <x:v>+2 人格满培养</x:v>
      </x:c>
      <x:c r="B29" s="59" t="n">
        <x:f>'04_逐步推导'!F13</x:f>
        <x:v>78</x:v>
      </x:c>
    </x:row>
  </x:sheetData>
  <x:mergeCells>
    <x:mergeCell ref="A1:H1"/>
    <x:mergeCell ref="A2:H2"/>
    <x:mergeCell ref="A4:H4"/>
    <x:mergeCell ref="A11:H11"/>
    <x:mergeCell ref="A19:H19"/>
  </x:mergeCells>
  <x:pageMargins left="0.7" right="0.7" top="0.75" bottom="0.75" header="0.3" footer="0.3"/>
  <x:drawing xmlns:r="http://schemas.openxmlformats.org/officeDocument/2006/relationships" r:id="R9bfe6a8b330241eb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44" hidden="0" customWidth="1"/>
    <x:col min="5" max="5" width="30" hidden="0" customWidth="1"/>
    <x:col min="6" max="6" width="24" hidden="0" customWidth="1"/>
    <x:col min="7" max="7" width="10" hidden="0" customWidth="1"/>
    <x:col min="8" max="8" width="26" hidden="0" customWidth="1"/>
  </x:cols>
  <x:sheetData>
    <x:row r="1" ht="21.600000381469727" hidden="0" customHeight="1">
      <x:c r="A1" s="32" t="str">
        <x:v>输入与来源</x:v>
      </x:c>
      <x:c r="B1" s="32"/>
      <x:c r="C1" s="32"/>
      <x:c r="D1" s="32"/>
      <x:c r="E1" s="32"/>
      <x:c r="F1" s="32"/>
      <x:c r="G1" s="32"/>
      <x:c r="H1" s="32"/>
    </x:row>
    <x:row r="2" ht="15" hidden="0" customHeight="1">
      <x:c r="A2" s="36" t="str">
        <x:v>完整扫描所有 Worksheet 的 used range；原始表保留，规范化值通过冲突与来源行回溯。</x:v>
      </x:c>
      <x:c r="B2" s="36"/>
      <x:c r="C2" s="36"/>
      <x:c r="D2" s="36"/>
      <x:c r="E2" s="36"/>
      <x:c r="F2" s="36"/>
      <x:c r="G2" s="36"/>
      <x:c r="H2" s="36"/>
    </x:row>
    <x:row r="3"/>
    <x:row r="4" ht="15" hidden="0" customHeight="1">
      <x:c r="A4" s="44" t="str">
        <x:v>source_name</x:v>
      </x:c>
      <x:c r="B4" s="44" t="str">
        <x:v>source_role</x:v>
      </x:c>
      <x:c r="C4" s="44" t="str">
        <x:v>used_for</x:v>
      </x:c>
      <x:c r="D4" s="44" t="str">
        <x:v>mapped_fields</x:v>
      </x:c>
      <x:c r="E4" s="44" t="str">
        <x:v>missing_fields</x:v>
      </x:c>
      <x:c r="F4" s="44" t="str">
        <x:v>handling</x:v>
      </x:c>
      <x:c r="G4" s="44" t="str">
        <x:v>records</x:v>
      </x:c>
      <x:c r="H4" s="44" t="str">
        <x:v>note</x:v>
      </x:c>
    </x:row>
    <x:row r="5" ht="15" hidden="0" customHeight="1">
      <x:c r="A5" s="50" t="str">
        <x:v>人格牌.xlsx / 全局配置</x:v>
      </x:c>
      <x:c r="B5" s="50" t="str">
        <x:v>authoritative_with_overrides</x:v>
      </x:c>
      <x:c r="C5" s="50" t="str">
        <x:v>支持数据</x:v>
      </x:c>
      <x:c r="D5" s="50" t="str">
        <x:v>规则_ID、规则名称、数值类型、配置数值</x:v>
      </x:c>
      <x:c r="E5" s="50" t="str">
        <x:v>无强制缺失</x:v>
      </x:c>
      <x:c r="F5" s="50" t="str">
        <x:v>direct + confirmed override</x:v>
      </x:c>
      <x:c r="G5" s="58" t="n">
        <x:v>13</x:v>
      </x:c>
      <x:c r="H5" s="50" t="str">
        <x:v>表头行 1</x:v>
      </x:c>
    </x:row>
    <x:row r="6" ht="36" hidden="0" customHeight="1">
      <x:c r="A6" s="51" t="str">
        <x:v>人格牌.xlsx / 关卡流程</x:v>
      </x:c>
      <x:c r="B6" s="51" t="str">
        <x:v>authoritative_with_overrides</x:v>
      </x:c>
      <x:c r="C6" s="51" t="str">
        <x:v>流程/经济</x:v>
      </x:c>
      <x:c r="D6" s="51" t="str">
        <x:v>阶段_ID、关卡名称、顺序、关卡类型描述、分数类型、分数参数、手牌限制、弃牌限制、AI节点、人格牌生成数量、奖励类型1、奖励参数1、奖励类型2、奖励参数2</x:v>
      </x:c>
      <x:c r="E6" s="51" t="str">
        <x:v>difficulty、剩余次数奖励</x:v>
      </x:c>
      <x:c r="F6" s="51" t="str">
        <x:v>direct + confirmed override</x:v>
      </x:c>
      <x:c r="G6" s="59" t="n">
        <x:v>13</x:v>
      </x:c>
      <x:c r="H6" s="51" t="str">
        <x:v>表头行 1</x:v>
      </x:c>
    </x:row>
    <x:row r="7" ht="24" hidden="0" customHeight="1">
      <x:c r="A7" s="51" t="str">
        <x:v>人格牌.xlsx / 牌型配置</x:v>
      </x:c>
      <x:c r="B7" s="51" t="str">
        <x:v>supporting_or_unconfirmed</x:v>
      </x:c>
      <x:c r="C7" s="51" t="str">
        <x:v>支持数据</x:v>
      </x:c>
      <x:c r="D7" s="51" t="str">
        <x:v>手牌_ID、牌型名称、计分牌数、牌型品质_ID、基础筹码、基础倍率、显示顺序</x:v>
      </x:c>
      <x:c r="E7" s="51" t="str">
        <x:v>无强制缺失</x:v>
      </x:c>
      <x:c r="F7" s="51" t="str">
        <x:v>preserve + mark status</x:v>
      </x:c>
      <x:c r="G7" s="59" t="n">
        <x:v>11</x:v>
      </x:c>
      <x:c r="H7" s="51" t="str">
        <x:v>表头行 1</x:v>
      </x:c>
    </x:row>
    <x:row r="8" ht="24" hidden="0" customHeight="1">
      <x:c r="A8" s="51" t="str">
        <x:v>人格牌.xlsx / 卡牌配置</x:v>
      </x:c>
      <x:c r="B8" s="51" t="str">
        <x:v>supporting_or_unconfirmed</x:v>
      </x:c>
      <x:c r="C8" s="51" t="str">
        <x:v>支持数据</x:v>
      </x:c>
      <x:c r="D8" s="51" t="str">
        <x:v>卡牌_ID、卡牌名称、卡牌类型、花色、点数、参数类型、参数1</x:v>
      </x:c>
      <x:c r="E8" s="51" t="str">
        <x:v>无强制缺失</x:v>
      </x:c>
      <x:c r="F8" s="51" t="str">
        <x:v>preserve + mark status</x:v>
      </x:c>
      <x:c r="G8" s="59" t="n">
        <x:v>52</x:v>
      </x:c>
      <x:c r="H8" s="51" t="str">
        <x:v>表头行 1</x:v>
      </x:c>
    </x:row>
    <x:row r="9" ht="24" hidden="0" customHeight="1">
      <x:c r="A9" s="51" t="str">
        <x:v>人格牌.xlsx / 人格牌配置</x:v>
      </x:c>
      <x:c r="B9" s="51" t="str">
        <x:v>authoritative_with_overrides</x:v>
      </x:c>
      <x:c r="C9" s="51" t="str">
        <x:v>人格/培养</x:v>
      </x:c>
      <x:c r="D9" s="51" t="str">
        <x:v>人格牌_ID、人格牌名称、词条_ID、主属性_ID、次级属性_ID、最大属性数量、最大次级属性数量、次级属性池数量</x:v>
      </x:c>
      <x:c r="E9" s="51" t="str">
        <x:v>无强制缺失</x:v>
      </x:c>
      <x:c r="F9" s="51" t="str">
        <x:v>direct + confirmed override</x:v>
      </x:c>
      <x:c r="G9" s="59" t="n">
        <x:v>8</x:v>
      </x:c>
      <x:c r="H9" s="51" t="str">
        <x:v>表头行 1</x:v>
      </x:c>
    </x:row>
    <x:row r="10" ht="15" hidden="0" customHeight="1">
      <x:c r="A10" s="51" t="str">
        <x:v>人格牌.xlsx / 人格牌_词条</x:v>
      </x:c>
      <x:c r="B10" s="51" t="str">
        <x:v>authoritative_with_overrides</x:v>
      </x:c>
      <x:c r="C10" s="51" t="str">
        <x:v>人格/培养</x:v>
      </x:c>
      <x:c r="D10" s="51" t="str">
        <x:v>词条_ID、触发条件描述、条件类型、比较符、条件参数</x:v>
      </x:c>
      <x:c r="E10" s="51" t="str">
        <x:v>无强制缺失</x:v>
      </x:c>
      <x:c r="F10" s="51" t="str">
        <x:v>direct + confirmed override</x:v>
      </x:c>
      <x:c r="G10" s="59" t="n">
        <x:v>8</x:v>
      </x:c>
      <x:c r="H10" s="51" t="str">
        <x:v>表头行 1</x:v>
      </x:c>
    </x:row>
    <x:row r="11" ht="15" hidden="0" customHeight="1">
      <x:c r="A11" s="51" t="str">
        <x:v>人格牌.xlsx / 人格牌_主属性</x:v>
      </x:c>
      <x:c r="B11" s="51" t="str">
        <x:v>authoritative_with_overrides</x:v>
      </x:c>
      <x:c r="C11" s="51" t="str">
        <x:v>人格/培养</x:v>
      </x:c>
      <x:c r="D11" s="51" t="str">
        <x:v>主属性_ID、属性类型、属性参数1、属性参数2、开放节点</x:v>
      </x:c>
      <x:c r="E11" s="51" t="str">
        <x:v>无强制缺失</x:v>
      </x:c>
      <x:c r="F11" s="51" t="str">
        <x:v>direct + confirmed override</x:v>
      </x:c>
      <x:c r="G11" s="59" t="n">
        <x:v>8</x:v>
      </x:c>
      <x:c r="H11" s="51" t="str">
        <x:v>表头行 1</x:v>
      </x:c>
    </x:row>
    <x:row r="12" ht="24" hidden="0" customHeight="1">
      <x:c r="A12" s="51" t="str">
        <x:v>人格牌.xlsx / 人格牌_次级属性</x:v>
      </x:c>
      <x:c r="B12" s="51" t="str">
        <x:v>authoritative_with_overrides</x:v>
      </x:c>
      <x:c r="C12" s="51" t="str">
        <x:v>人格/培养</x:v>
      </x:c>
      <x:c r="D12" s="51" t="str">
        <x:v>次级属性_ID、所属人格、权重、属性类型、属性参数1、属性参数2、开放节点</x:v>
      </x:c>
      <x:c r="E12" s="51" t="str">
        <x:v>无强制缺失</x:v>
      </x:c>
      <x:c r="F12" s="51" t="str">
        <x:v>direct + confirmed override</x:v>
      </x:c>
      <x:c r="G12" s="59" t="n">
        <x:v>40</x:v>
      </x:c>
      <x:c r="H12" s="51" t="str">
        <x:v>表头行 1</x:v>
      </x:c>
    </x:row>
    <x:row r="13" ht="24" hidden="0" customHeight="1">
      <x:c r="A13" s="51" t="str">
        <x:v>人格牌.xlsx / 商品_商品</x:v>
      </x:c>
      <x:c r="B13" s="51" t="str">
        <x:v>supporting_or_unconfirmed</x:v>
      </x:c>
      <x:c r="C13" s="51" t="str">
        <x:v>商店</x:v>
      </x:c>
      <x:c r="D13" s="51" t="str">
        <x:v>商品_ID、商品名称、商品类型、价格、购买次数限制、效果类型、效果参数1、效果参数2</x:v>
      </x:c>
      <x:c r="E13" s="51" t="str">
        <x:v>无强制缺失</x:v>
      </x:c>
      <x:c r="F13" s="51" t="str">
        <x:v>preserve + mark status</x:v>
      </x:c>
      <x:c r="G13" s="59" t="n">
        <x:v>65</x:v>
      </x:c>
      <x:c r="H13" s="51" t="str">
        <x:v>表头行 1</x:v>
      </x:c>
    </x:row>
    <x:row r="14" ht="15" hidden="0" customHeight="1">
      <x:c r="A14" s="51" t="str">
        <x:v>人格牌.xlsx / 商店_人格铸造</x:v>
      </x:c>
      <x:c r="B14" s="51" t="str">
        <x:v>authoritative_with_overrides</x:v>
      </x:c>
      <x:c r="C14" s="51" t="str">
        <x:v>人格/培养</x:v>
      </x:c>
      <x:c r="D14" s="51" t="str">
        <x:v>功能_ID、功能名称、价格</x:v>
      </x:c>
      <x:c r="E14" s="51" t="str">
        <x:v>无强制缺失</x:v>
      </x:c>
      <x:c r="F14" s="51" t="str">
        <x:v>direct + confirmed override</x:v>
      </x:c>
      <x:c r="G14" s="59" t="n">
        <x:v>2</x:v>
      </x:c>
      <x:c r="H14" s="51" t="str">
        <x:v>表头行 1</x:v>
      </x:c>
    </x:row>
    <x:row r="15" ht="15" hidden="0" customHeight="1">
      <x:c r="A15" s="51" t="str">
        <x:v>人格牌.xlsx / 商店_商品槽位刷新规则</x:v>
      </x:c>
      <x:c r="B15" s="51" t="str">
        <x:v>supporting_or_unconfirmed</x:v>
      </x:c>
      <x:c r="C15" s="51" t="str">
        <x:v>商店</x:v>
      </x:c>
      <x:c r="D15" s="51" t="str">
        <x:v>刷新_ID、商店刷新节点、商品类型、出现数量、出现权重</x:v>
      </x:c>
      <x:c r="E15" s="51" t="str">
        <x:v>无强制缺失</x:v>
      </x:c>
      <x:c r="F15" s="51" t="str">
        <x:v>preserve + mark status</x:v>
      </x:c>
      <x:c r="G15" s="59" t="n">
        <x:v>9</x:v>
      </x:c>
      <x:c r="H15" s="51" t="str">
        <x:v>表头行 1</x:v>
      </x:c>
    </x:row>
    <x:row r="16" ht="15" hidden="0" customHeight="1">
      <x:c r="A16" s="51" t="str">
        <x:v>人格牌.xlsx / 商店_商品刷新规则</x:v>
      </x:c>
      <x:c r="B16" s="51" t="str">
        <x:v>supporting_or_unconfirmed</x:v>
      </x:c>
      <x:c r="C16" s="51" t="str">
        <x:v>商店</x:v>
      </x:c>
      <x:c r="D16" s="51" t="str">
        <x:v>商品池_ID、商品_ID、权重</x:v>
      </x:c>
      <x:c r="E16" s="51" t="str">
        <x:v>无强制缺失</x:v>
      </x:c>
      <x:c r="F16" s="51" t="str">
        <x:v>preserve + mark status</x:v>
      </x:c>
      <x:c r="G16" s="59" t="n">
        <x:v>65</x:v>
      </x:c>
      <x:c r="H16" s="51" t="str">
        <x:v>表头行 1</x:v>
      </x:c>
    </x:row>
    <x:row r="17" ht="15" hidden="0" customHeight="1">
      <x:c r="A17" s="51" t="str">
        <x:v>人格牌.xlsx / 牌型品质定义表</x:v>
      </x:c>
      <x:c r="B17" s="51" t="str">
        <x:v>supporting_or_unconfirmed</x:v>
      </x:c>
      <x:c r="C17" s="51" t="str">
        <x:v>支持数据</x:v>
      </x:c>
      <x:c r="D17" s="51" t="str">
        <x:v>牌型品质_ID、品质名称、品质等级</x:v>
      </x:c>
      <x:c r="E17" s="51" t="str">
        <x:v>无强制缺失</x:v>
      </x:c>
      <x:c r="F17" s="51" t="str">
        <x:v>preserve + mark status</x:v>
      </x:c>
      <x:c r="G17" s="59" t="n">
        <x:v>2</x:v>
      </x:c>
      <x:c r="H17" s="51" t="str">
        <x:v>表头行 1</x:v>
      </x:c>
    </x:row>
    <x:row r="18" ht="15" hidden="0" customHeight="1">
      <x:c r="A18" s="51" t="str">
        <x:v>人格牌.xlsx / 比较符定义表</x:v>
      </x:c>
      <x:c r="B18" s="51" t="str">
        <x:v>supporting_or_unconfirmed</x:v>
      </x:c>
      <x:c r="C18" s="51" t="str">
        <x:v>支持数据</x:v>
      </x:c>
      <x:c r="D18" s="51" t="str">
        <x:v>比较符_ID、中文名称、说明</x:v>
      </x:c>
      <x:c r="E18" s="51" t="str">
        <x:v>无强制缺失</x:v>
      </x:c>
      <x:c r="F18" s="51" t="str">
        <x:v>preserve + mark status</x:v>
      </x:c>
      <x:c r="G18" s="59" t="n">
        <x:v>8</x:v>
      </x:c>
      <x:c r="H18" s="51" t="str">
        <x:v>表头行 1</x:v>
      </x:c>
    </x:row>
    <x:row r="19" ht="15" hidden="0" customHeight="1">
      <x:c r="A19" s="51" t="str">
        <x:v>人格牌.xlsx / 图片配置</x:v>
      </x:c>
      <x:c r="B19" s="51" t="str">
        <x:v>supporting_or_unconfirmed</x:v>
      </x:c>
      <x:c r="C19" s="51" t="str">
        <x:v>支持数据</x:v>
      </x:c>
      <x:c r="D19" s="51" t="str">
        <x:v>图片_ID、卡牌名称、卡牌类型、卡牌链接</x:v>
      </x:c>
      <x:c r="E19" s="51" t="str">
        <x:v>卡牌链接</x:v>
      </x:c>
      <x:c r="F19" s="51" t="str">
        <x:v>preserve + mark status</x:v>
      </x:c>
      <x:c r="G19" s="59" t="n">
        <x:v>103</x:v>
      </x:c>
      <x:c r="H19" s="51" t="str">
        <x:v>表头行 1</x:v>
      </x:c>
    </x:row>
    <x:row r="20" ht="24" hidden="0" customHeight="1">
      <x:c r="A20" s="51" t="str">
        <x:v>当前请求粘贴文本</x:v>
      </x:c>
      <x:c r="B20" s="51" t="str">
        <x:v>authoritative</x:v>
      </x:c>
      <x:c r="C20" s="51" t="str">
        <x:v>槽位、成本、节点、金币规则</x:v>
      </x:c>
      <x:c r="D20" s="51" t="str">
        <x:v>4槽/3副词条/5与8/9战/Boss 0</x:v>
      </x:c>
      <x:c r="E20" s="51" t="str">
        <x:v>正式剩余次数奖励</x:v>
      </x:c>
      <x:c r="F20" s="51" t="str">
        <x:v>direct</x:v>
      </x:c>
      <x:c r="G20" s="59" t="n">
        <x:v>1</x:v>
      </x:c>
      <x:c r="H20" s="51" t="str">
        <x:v>最高优先级</x:v>
      </x:c>
    </x:row>
    <x:row r="21" ht="15" hidden="0" customHeight="1">
      <x:c r="A21" s="51" t="str">
        <x:v>当前网页运行时</x:v>
      </x:c>
      <x:c r="B21" s="51" t="str">
        <x:v>supporting</x:v>
      </x:c>
      <x:c r="C21" s="51" t="str">
        <x:v>迁移边界</x:v>
      </x:c>
      <x:c r="D21" s="51" t="str">
        <x:v>13节点骨架、旧金币公式、原型商店</x:v>
      </x:c>
      <x:c r="E21" s="51" t="str">
        <x:v>完整培养与正式配置入口</x:v>
      </x:c>
      <x:c r="F21" s="51" t="str">
        <x:v>conflict reference only</x:v>
      </x:c>
      <x:c r="G21" s="59" t="n">
        <x:v>1</x:v>
      </x:c>
      <x:c r="H21" s="51" t="str">
        <x:v>不得反向覆盖新配置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4" hidden="0" customWidth="1"/>
    <x:col min="5" max="5" width="16" hidden="0" customWidth="1"/>
    <x:col min="6" max="6" width="34" hidden="0" customWidth="1"/>
    <x:col min="7" max="7" width="28" hidden="0" customWidth="1"/>
    <x:col min="8" max="8" width="18" hidden="0" customWidth="1"/>
    <x:col min="9" max="9" width="30" hidden="0" customWidth="1"/>
    <x:col min="10" max="10" width="20" hidden="0" customWidth="1"/>
  </x:cols>
  <x:sheetData>
    <x:row r="1" ht="21.600000381469727" hidden="0" customHeight="1">
      <x:c r="A1" s="32" t="str">
        <x:v>体验预期与节点拆解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 ht="15" hidden="0" customHeight="1">
      <x:c r="A2" s="36" t="str">
        <x:v>先定义体验与节奏，再进入数值推导；建议值均明确标记为 PROPOSED / UNSPECIFIED。</x:v>
      </x:c>
      <x:c r="B2" s="36"/>
      <x:c r="C2" s="36"/>
      <x:c r="D2" s="36"/>
      <x:c r="E2" s="36"/>
      <x:c r="F2" s="36"/>
      <x:c r="G2" s="36"/>
      <x:c r="H2" s="36"/>
      <x:c r="I2" s="36"/>
      <x:c r="J2" s="36"/>
    </x:row>
    <x:row r="3"/>
    <x:row r="4" ht="15" hidden="0" customHeight="1">
      <x:c r="A4" s="39" t="str">
        <x:v>体验预期</x:v>
      </x:c>
      <x:c r="B4" s="39"/>
      <x:c r="C4" s="39"/>
      <x:c r="D4" s="39"/>
      <x:c r="E4" s="39"/>
      <x:c r="F4" s="39"/>
      <x:c r="G4" s="39"/>
      <x:c r="H4" s="39"/>
      <x:c r="I4" s="39"/>
      <x:c r="J4" s="39"/>
    </x:row>
    <x:row r="5" ht="26.399999618530273" hidden="0" customHeight="1">
      <x:c r="A5" s="44" t="str">
        <x:v>experience_goal</x:v>
      </x:c>
      <x:c r="B5" s="44" t="str">
        <x:v>target_user</x:v>
      </x:c>
      <x:c r="C5" s="44" t="str">
        <x:v>target_period</x:v>
      </x:c>
      <x:c r="D5" s="44" t="str">
        <x:v>target_frequency</x:v>
      </x:c>
      <x:c r="E5" s="44" t="str">
        <x:v>target_time_cost</x:v>
      </x:c>
      <x:c r="F5" s="44" t="str">
        <x:v>target_completion</x:v>
      </x:c>
      <x:c r="G5" s="44" t="str">
        <x:v>target_pressure</x:v>
      </x:c>
      <x:c r="H5" s="44" t="str">
        <x:v>target_reward_cycle</x:v>
      </x:c>
      <x:c r="I5" s="44" t="str">
        <x:v>source_or_assumption</x:v>
      </x:c>
      <x:c r="J5" s="44" t="str">
        <x:v>note</x:v>
      </x:c>
    </x:row>
    <x:row r="6" ht="15" hidden="0" customHeight="1">
      <x:c r="A6" s="50" t="str">
        <x:v>三段式形成构筑</x:v>
      </x:c>
      <x:c r="B6" s="50" t="str">
        <x:v>全部玩家</x:v>
      </x:c>
      <x:c r="C6" s="50" t="str">
        <x:v>单局 13 节点</x:v>
      </x:c>
      <x:c r="D6" s="50" t="str">
        <x:v>3 次 AI 成长/商店</x:v>
      </x:c>
      <x:c r="E6" s="50" t="str">
        <x:v>UNSPECIFIED</x:v>
      </x:c>
      <x:c r="F6" s="50" t="str">
        <x:v>每个 AI 节点做一次人格与消费决策</x:v>
      </x:c>
      <x:c r="G6" s="50" t="str">
        <x:v>资源有限但可形成核心构筑</x:v>
      </x:c>
      <x:c r="H6" s="50" t="str">
        <x:v>AI1/AI2/AI3</x:v>
      </x:c>
      <x:c r="I6" s="50" t="str">
        <x:v>当前请求 + Excel</x:v>
      </x:c>
      <x:c r="J6" s="50" t="str">
        <x:v>不是地图分支</x:v>
      </x:c>
    </x:row>
    <x:row r="7" ht="24" hidden="0" customHeight="1">
      <x:c r="A7" s="51" t="str">
        <x:v>基础收入覆盖起始四人格培养</x:v>
      </x:c>
      <x:c r="B7" s="51" t="str">
        <x:v>低收益玩家</x:v>
      </x:c>
      <x:c r="C7" s="51" t="str">
        <x:v>9 场产金战斗</x:v>
      </x:c>
      <x:c r="D7" s="51" t="str">
        <x:v>每战胜利结算</x:v>
      </x:c>
      <x:c r="E7" s="51" t="str">
        <x:v>UNSPECIFIED</x:v>
      </x:c>
      <x:c r="F7" s="51" t="str">
        <x:v>AI3 前基础收入 54</x:v>
      </x:c>
      <x:c r="G7" s="51" t="str">
        <x:v>四人格成本 52，保留 2</x:v>
      </x:c>
      <x:c r="H7" s="51" t="str">
        <x:v>每三战一次消费窗口</x:v>
      </x:c>
      <x:c r="I7" s="51" t="str">
        <x:v>计算值</x:v>
      </x:c>
      <x:c r="J7" s="51" t="str">
        <x:v>剩余次数奖励不计入保底</x:v>
      </x:c>
    </x:row>
    <x:row r="8" ht="24" hidden="0" customHeight="1">
      <x:c r="A8" s="51" t="str">
        <x:v>操作效率形成有限额外选择</x:v>
      </x:c>
      <x:c r="B8" s="51" t="str">
        <x:v>正常/高手</x:v>
      </x:c>
      <x:c r="C8" s="51" t="str">
        <x:v>9 场产金战斗</x:v>
      </x:c>
      <x:c r="D8" s="51" t="str">
        <x:v>每战最多约 2 建议奖励</x:v>
      </x:c>
      <x:c r="E8" s="51" t="str">
        <x:v>UNSPECIFIED</x:v>
      </x:c>
      <x:c r="F8" s="51" t="str">
        <x:v>毛收入建议 60～72</x:v>
      </x:c>
      <x:c r="G8" s="51" t="str">
        <x:v>可多培养 0～1 个换入人格</x:v>
      </x:c>
      <x:c r="H8" s="51" t="str">
        <x:v>替换与服务择一</x:v>
      </x:c>
      <x:c r="I8" s="51" t="str">
        <x:v>建议</x:v>
      </x:c>
      <x:c r="J8" s="51" t="str">
        <x:v>等待正式奖励公式确认</x:v>
      </x:c>
    </x:row>
    <x:row r="9" ht="24" hidden="0" customHeight="1">
      <x:c r="A9" s="51" t="str">
        <x:v>避免全收集无代价</x:v>
      </x:c>
      <x:c r="B9" s="51" t="str">
        <x:v>高手</x:v>
      </x:c>
      <x:c r="C9" s="51" t="str">
        <x:v>整局</x:v>
      </x:c>
      <x:c r="D9" s="51" t="str">
        <x:v>最多 3 个 AI 新人格</x:v>
      </x:c>
      <x:c r="E9" s="51" t="str">
        <x:v>UNSPECIFIED</x:v>
      </x:c>
      <x:c r="F9" s="51" t="str">
        <x:v>建议上限 72 &lt; 两次替换满培养 78</x:v>
      </x:c>
      <x:c r="G9" s="51" t="str">
        <x:v>保留机会成本</x:v>
      </x:c>
      <x:c r="H9" s="51" t="str">
        <x:v>最终优化</x:v>
      </x:c>
      <x:c r="I9" s="51" t="str">
        <x:v>推导</x:v>
      </x:c>
      <x:c r="J9" s="51" t="str">
        <x:v>三次全部培养需 91</x:v>
      </x:c>
    </x:row>
    <x:row r="10"/>
    <x:row r="11" ht="15" hidden="0" customHeight="1">
      <x:c r="A11" s="57" t="str">
        <x:v>13 节点拆解</x:v>
      </x:c>
      <x:c r="B11" s="57"/>
      <x:c r="C11" s="57"/>
      <x:c r="D11" s="57"/>
      <x:c r="E11" s="57"/>
      <x:c r="F11" s="57"/>
      <x:c r="G11" s="57"/>
      <x:c r="H11" s="57"/>
      <x:c r="I11" s="57"/>
      <x:c r="J11" s="57"/>
    </x:row>
    <x:row r="12" ht="26.399999618530273" hidden="0" customHeight="1">
      <x:c r="A12" s="44" t="str">
        <x:v>node_id</x:v>
      </x:c>
      <x:c r="B12" s="44" t="str">
        <x:v>phase</x:v>
      </x:c>
      <x:c r="C12" s="44" t="str">
        <x:v>node_name</x:v>
      </x:c>
      <x:c r="D12" s="44" t="str">
        <x:v>node_type</x:v>
      </x:c>
      <x:c r="E12" s="44" t="str">
        <x:v>unlock_condition</x:v>
      </x:c>
      <x:c r="F12" s="44" t="str">
        <x:v>design_intent</x:v>
      </x:c>
      <x:c r="G12" s="44" t="str">
        <x:v>expected_player_state</x:v>
      </x:c>
      <x:c r="H12" s="44" t="str">
        <x:v>coefficient_or_weight</x:v>
      </x:c>
      <x:c r="I12" s="44" t="str">
        <x:v>source_or_assumption</x:v>
      </x:c>
      <x:c r="J12" s="44" t="str">
        <x:v>downstream_use</x:v>
      </x:c>
    </x:row>
    <x:row r="13" ht="15" hidden="0" customHeight="1">
      <x:c r="A13" s="50" t="str">
        <x:v>STAGE_01</x:v>
      </x:c>
      <x:c r="B13" s="50" t="str">
        <x:v>EARLY</x:v>
      </x:c>
      <x:c r="C13" s="50" t="str">
        <x:v>关卡1</x:v>
      </x:c>
      <x:c r="D13" s="50" t="str">
        <x:v>BATTLE</x:v>
      </x:c>
      <x:c r="E13" s="50" t="str">
        <x:v>顺序 1</x:v>
      </x:c>
      <x:c r="F13" s="50" t="str">
        <x:v>累积分数与金币，推动下一消费窗口</x:v>
      </x:c>
      <x:c r="G13" s="50" t="str">
        <x:v>当前永久牌库与 4 人格</x:v>
      </x:c>
      <x:c r="H13" s="50" t="n">
        <x:v>5</x:v>
      </x:c>
      <x:c r="I13" s="50" t="str">
        <x:v>人格牌.xlsx / 关卡流程</x:v>
      </x:c>
      <x:c r="J13" s="50" t="str">
        <x:v>经济与流程</x:v>
      </x:c>
    </x:row>
    <x:row r="14" ht="15" hidden="0" customHeight="1">
      <x:c r="A14" s="51" t="str">
        <x:v>STAGE_02</x:v>
      </x:c>
      <x:c r="B14" s="51" t="str">
        <x:v>EARLY</x:v>
      </x:c>
      <x:c r="C14" s="51" t="str">
        <x:v>关卡2</x:v>
      </x:c>
      <x:c r="D14" s="51" t="str">
        <x:v>BATTLE</x:v>
      </x:c>
      <x:c r="E14" s="51" t="str">
        <x:v>顺序 2</x:v>
      </x:c>
      <x:c r="F14" s="51" t="str">
        <x:v>累积分数与金币，推动下一消费窗口</x:v>
      </x:c>
      <x:c r="G14" s="51" t="str">
        <x:v>当前永久牌库与 4 人格</x:v>
      </x:c>
      <x:c r="H14" s="51" t="n">
        <x:v>5</x:v>
      </x:c>
      <x:c r="I14" s="51" t="str">
        <x:v>人格牌.xlsx / 关卡流程</x:v>
      </x:c>
      <x:c r="J14" s="51" t="str">
        <x:v>经济与流程</x:v>
      </x:c>
    </x:row>
    <x:row r="15" ht="15" hidden="0" customHeight="1">
      <x:c r="A15" s="51" t="str">
        <x:v>STAGE_03</x:v>
      </x:c>
      <x:c r="B15" s="51" t="str">
        <x:v>EARLY</x:v>
      </x:c>
      <x:c r="C15" s="51" t="str">
        <x:v>关卡3</x:v>
      </x:c>
      <x:c r="D15" s="51" t="str">
        <x:v>BATTLE</x:v>
      </x:c>
      <x:c r="E15" s="51" t="str">
        <x:v>顺序 3</x:v>
      </x:c>
      <x:c r="F15" s="51" t="str">
        <x:v>累积分数与金币，推动下一消费窗口</x:v>
      </x:c>
      <x:c r="G15" s="51" t="str">
        <x:v>当前永久牌库与 4 人格</x:v>
      </x:c>
      <x:c r="H15" s="51" t="n">
        <x:v>8</x:v>
      </x:c>
      <x:c r="I15" s="51" t="str">
        <x:v>人格牌.xlsx / 关卡流程</x:v>
      </x:c>
      <x:c r="J15" s="51" t="str">
        <x:v>经济与流程</x:v>
      </x:c>
    </x:row>
    <x:row r="16" ht="15" hidden="0" customHeight="1">
      <x:c r="A16" s="51" t="str">
        <x:v>STAGE_04</x:v>
      </x:c>
      <x:c r="B16" s="51" t="str">
        <x:v>EARLY</x:v>
      </x:c>
      <x:c r="C16" s="51" t="str">
        <x:v>AI1</x:v>
      </x:c>
      <x:c r="D16" s="51" t="str">
        <x:v>SHOP</x:v>
      </x:c>
      <x:c r="E16" s="51" t="str">
        <x:v>顺序 4</x:v>
      </x:c>
      <x:c r="F16" s="51" t="str">
        <x:v>生成人格并开放 AI1 消费决策</x:v>
      </x:c>
      <x:c r="G16" s="51" t="str">
        <x:v>持有上一组三战收入</x:v>
      </x:c>
      <x:c r="H16" s="51" t="str">
        <x:v>—</x:v>
      </x:c>
      <x:c r="I16" s="51" t="str">
        <x:v>人格牌.xlsx / 关卡流程</x:v>
      </x:c>
      <x:c r="J16" s="51" t="str">
        <x:v>培养与商店</x:v>
      </x:c>
    </x:row>
    <x:row r="17" ht="15" hidden="0" customHeight="1">
      <x:c r="A17" s="51" t="str">
        <x:v>STAGE_05</x:v>
      </x:c>
      <x:c r="B17" s="51" t="str">
        <x:v>MID</x:v>
      </x:c>
      <x:c r="C17" s="51" t="str">
        <x:v>关卡4</x:v>
      </x:c>
      <x:c r="D17" s="51" t="str">
        <x:v>BATTLE</x:v>
      </x:c>
      <x:c r="E17" s="51" t="str">
        <x:v>顺序 5</x:v>
      </x:c>
      <x:c r="F17" s="51" t="str">
        <x:v>累积分数与金币，推动下一消费窗口</x:v>
      </x:c>
      <x:c r="G17" s="51" t="str">
        <x:v>当前永久牌库与 4 人格</x:v>
      </x:c>
      <x:c r="H17" s="51" t="n">
        <x:v>5</x:v>
      </x:c>
      <x:c r="I17" s="51" t="str">
        <x:v>人格牌.xlsx / 关卡流程</x:v>
      </x:c>
      <x:c r="J17" s="51" t="str">
        <x:v>经济与流程</x:v>
      </x:c>
    </x:row>
    <x:row r="18" ht="15" hidden="0" customHeight="1">
      <x:c r="A18" s="51" t="str">
        <x:v>STAGE_06</x:v>
      </x:c>
      <x:c r="B18" s="51" t="str">
        <x:v>MID</x:v>
      </x:c>
      <x:c r="C18" s="51" t="str">
        <x:v>关卡5</x:v>
      </x:c>
      <x:c r="D18" s="51" t="str">
        <x:v>BATTLE</x:v>
      </x:c>
      <x:c r="E18" s="51" t="str">
        <x:v>顺序 6</x:v>
      </x:c>
      <x:c r="F18" s="51" t="str">
        <x:v>累积分数与金币，推动下一消费窗口</x:v>
      </x:c>
      <x:c r="G18" s="51" t="str">
        <x:v>当前永久牌库与 4 人格</x:v>
      </x:c>
      <x:c r="H18" s="51" t="n">
        <x:v>5</x:v>
      </x:c>
      <x:c r="I18" s="51" t="str">
        <x:v>人格牌.xlsx / 关卡流程</x:v>
      </x:c>
      <x:c r="J18" s="51" t="str">
        <x:v>经济与流程</x:v>
      </x:c>
    </x:row>
    <x:row r="19" ht="15" hidden="0" customHeight="1">
      <x:c r="A19" s="51" t="str">
        <x:v>STAGE_07</x:v>
      </x:c>
      <x:c r="B19" s="51" t="str">
        <x:v>MID</x:v>
      </x:c>
      <x:c r="C19" s="51" t="str">
        <x:v>关卡6</x:v>
      </x:c>
      <x:c r="D19" s="51" t="str">
        <x:v>BATTLE</x:v>
      </x:c>
      <x:c r="E19" s="51" t="str">
        <x:v>顺序 7</x:v>
      </x:c>
      <x:c r="F19" s="51" t="str">
        <x:v>累积分数与金币，推动下一消费窗口</x:v>
      </x:c>
      <x:c r="G19" s="51" t="str">
        <x:v>当前永久牌库与 4 人格</x:v>
      </x:c>
      <x:c r="H19" s="51" t="n">
        <x:v>8</x:v>
      </x:c>
      <x:c r="I19" s="51" t="str">
        <x:v>人格牌.xlsx / 关卡流程</x:v>
      </x:c>
      <x:c r="J19" s="51" t="str">
        <x:v>经济与流程</x:v>
      </x:c>
    </x:row>
    <x:row r="20" ht="15" hidden="0" customHeight="1">
      <x:c r="A20" s="51" t="str">
        <x:v>STAGE_08</x:v>
      </x:c>
      <x:c r="B20" s="51" t="str">
        <x:v>MID</x:v>
      </x:c>
      <x:c r="C20" s="51" t="str">
        <x:v>AI2</x:v>
      </x:c>
      <x:c r="D20" s="51" t="str">
        <x:v>SHOP</x:v>
      </x:c>
      <x:c r="E20" s="51" t="str">
        <x:v>顺序 8</x:v>
      </x:c>
      <x:c r="F20" s="51" t="str">
        <x:v>生成人格并开放 AI1 消费决策</x:v>
      </x:c>
      <x:c r="G20" s="51" t="str">
        <x:v>持有上一组三战收入</x:v>
      </x:c>
      <x:c r="H20" s="51" t="str">
        <x:v>—</x:v>
      </x:c>
      <x:c r="I20" s="51" t="str">
        <x:v>人格牌.xlsx / 关卡流程</x:v>
      </x:c>
      <x:c r="J20" s="51" t="str">
        <x:v>培养与商店</x:v>
      </x:c>
    </x:row>
    <x:row r="21" ht="15" hidden="0" customHeight="1">
      <x:c r="A21" s="51" t="str">
        <x:v>STAGE_09</x:v>
      </x:c>
      <x:c r="B21" s="51" t="str">
        <x:v>LATE</x:v>
      </x:c>
      <x:c r="C21" s="51" t="str">
        <x:v>关卡7</x:v>
      </x:c>
      <x:c r="D21" s="51" t="str">
        <x:v>BATTLE</x:v>
      </x:c>
      <x:c r="E21" s="51" t="str">
        <x:v>顺序 9</x:v>
      </x:c>
      <x:c r="F21" s="51" t="str">
        <x:v>累积分数与金币，推动下一消费窗口</x:v>
      </x:c>
      <x:c r="G21" s="51" t="str">
        <x:v>当前永久牌库与 4 人格</x:v>
      </x:c>
      <x:c r="H21" s="51" t="n">
        <x:v>5</x:v>
      </x:c>
      <x:c r="I21" s="51" t="str">
        <x:v>人格牌.xlsx / 关卡流程</x:v>
      </x:c>
      <x:c r="J21" s="51" t="str">
        <x:v>经济与流程</x:v>
      </x:c>
    </x:row>
    <x:row r="22" ht="15" hidden="0" customHeight="1">
      <x:c r="A22" s="51" t="str">
        <x:v>STAGE_10</x:v>
      </x:c>
      <x:c r="B22" s="51" t="str">
        <x:v>LATE</x:v>
      </x:c>
      <x:c r="C22" s="51" t="str">
        <x:v>关卡8</x:v>
      </x:c>
      <x:c r="D22" s="51" t="str">
        <x:v>BATTLE</x:v>
      </x:c>
      <x:c r="E22" s="51" t="str">
        <x:v>顺序 10</x:v>
      </x:c>
      <x:c r="F22" s="51" t="str">
        <x:v>累积分数与金币，推动下一消费窗口</x:v>
      </x:c>
      <x:c r="G22" s="51" t="str">
        <x:v>当前永久牌库与 4 人格</x:v>
      </x:c>
      <x:c r="H22" s="51" t="n">
        <x:v>5</x:v>
      </x:c>
      <x:c r="I22" s="51" t="str">
        <x:v>人格牌.xlsx / 关卡流程</x:v>
      </x:c>
      <x:c r="J22" s="51" t="str">
        <x:v>经济与流程</x:v>
      </x:c>
    </x:row>
    <x:row r="23" ht="15" hidden="0" customHeight="1">
      <x:c r="A23" s="51" t="str">
        <x:v>STAGE_11</x:v>
      </x:c>
      <x:c r="B23" s="51" t="str">
        <x:v>LATE</x:v>
      </x:c>
      <x:c r="C23" s="51" t="str">
        <x:v>关卡9</x:v>
      </x:c>
      <x:c r="D23" s="51" t="str">
        <x:v>BATTLE</x:v>
      </x:c>
      <x:c r="E23" s="51" t="str">
        <x:v>顺序 11</x:v>
      </x:c>
      <x:c r="F23" s="51" t="str">
        <x:v>累积分数与金币，推动下一消费窗口</x:v>
      </x:c>
      <x:c r="G23" s="51" t="str">
        <x:v>当前永久牌库与 4 人格</x:v>
      </x:c>
      <x:c r="H23" s="51" t="n">
        <x:v>8</x:v>
      </x:c>
      <x:c r="I23" s="51" t="str">
        <x:v>人格牌.xlsx / 关卡流程</x:v>
      </x:c>
      <x:c r="J23" s="51" t="str">
        <x:v>经济与流程</x:v>
      </x:c>
    </x:row>
    <x:row r="24" ht="15" hidden="0" customHeight="1">
      <x:c r="A24" s="51" t="str">
        <x:v>STAGE_12</x:v>
      </x:c>
      <x:c r="B24" s="51" t="str">
        <x:v>LATE</x:v>
      </x:c>
      <x:c r="C24" s="51" t="str">
        <x:v>AI3</x:v>
      </x:c>
      <x:c r="D24" s="51" t="str">
        <x:v>SHOP</x:v>
      </x:c>
      <x:c r="E24" s="51" t="str">
        <x:v>顺序 12</x:v>
      </x:c>
      <x:c r="F24" s="51" t="str">
        <x:v>生成人格并开放 AI1 消费决策</x:v>
      </x:c>
      <x:c r="G24" s="51" t="str">
        <x:v>持有上一组三战收入</x:v>
      </x:c>
      <x:c r="H24" s="51" t="str">
        <x:v>—</x:v>
      </x:c>
      <x:c r="I24" s="51" t="str">
        <x:v>人格牌.xlsx / 关卡流程</x:v>
      </x:c>
      <x:c r="J24" s="51" t="str">
        <x:v>培养与商店</x:v>
      </x:c>
    </x:row>
    <x:row r="25" ht="15" hidden="0" customHeight="1">
      <x:c r="A25" s="51" t="str">
        <x:v>STAGE_13</x:v>
      </x:c>
      <x:c r="B25" s="51" t="str">
        <x:v>LATE</x:v>
      </x:c>
      <x:c r="C25" s="51" t="str">
        <x:v>关卡10</x:v>
      </x:c>
      <x:c r="D25" s="51" t="str">
        <x:v>BOSS</x:v>
      </x:c>
      <x:c r="E25" s="51" t="str">
        <x:v>顺序 13</x:v>
      </x:c>
      <x:c r="F25" s="51" t="str">
        <x:v>验证最终构筑，不产金币</x:v>
      </x:c>
      <x:c r="G25" s="51" t="str">
        <x:v>当前永久牌库与 4 人格</x:v>
      </x:c>
      <x:c r="H25" s="51" t="str">
        <x:v>—</x:v>
      </x:c>
      <x:c r="I25" s="51" t="str">
        <x:v>人格牌.xlsx / 关卡流程</x:v>
      </x:c>
      <x:c r="J25" s="51" t="str">
        <x:v>经济与流程</x:v>
      </x:c>
    </x:row>
  </x:sheetData>
  <x:mergeCells>
    <x:mergeCell ref="A1:J1"/>
    <x:mergeCell ref="A2:J2"/>
    <x:mergeCell ref="A4:J4"/>
    <x:mergeCell ref="A11:J1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38" hidden="0" customWidth="1"/>
  </x:cols>
  <x:sheetData>
    <x:row r="1" ht="21.600000381469727" hidden="0" customHeight="1">
      <x:c r="A1" s="32" t="str">
        <x:v>玩家单局金币基线</x:v>
      </x:c>
      <x:c r="B1" s="32"/>
      <x:c r="C1" s="32"/>
      <x:c r="D1" s="32"/>
      <x:c r="E1" s="32"/>
      <x:c r="F1" s="32"/>
      <x:c r="G1" s="32"/>
      <x:c r="H1" s="32"/>
    </x:row>
    <x:row r="2" ht="15" hidden="0" customHeight="1">
      <x:c r="A2" s="36" t="str">
        <x:v>玩家分层仅用于单局操作效率，不代表付费层；区间依赖尚未确认的剩余次数奖励建议。</x:v>
      </x:c>
      <x:c r="B2" s="36"/>
      <x:c r="C2" s="36"/>
      <x:c r="D2" s="36"/>
      <x:c r="E2" s="36"/>
      <x:c r="F2" s="36"/>
      <x:c r="G2" s="36"/>
      <x:c r="H2" s="36"/>
    </x:row>
    <x:row r="3"/>
    <x:row r="4" ht="15" hidden="0" customHeight="1">
      <x:c r="A4" s="44" t="str">
        <x:v>segment</x:v>
      </x:c>
      <x:c r="B4" s="44" t="str">
        <x:v>label</x:v>
      </x:c>
      <x:c r="C4" s="44" t="str">
        <x:v>base_income</x:v>
      </x:c>
      <x:c r="D4" s="44" t="str">
        <x:v>extra_income_min</x:v>
      </x:c>
      <x:c r="E4" s="44" t="str">
        <x:v>extra_income_max</x:v>
      </x:c>
      <x:c r="F4" s="44" t="str">
        <x:v>gross_income_min</x:v>
      </x:c>
      <x:c r="G4" s="44" t="str">
        <x:v>gross_income_max</x:v>
      </x:c>
      <x:c r="H4" s="44" t="str">
        <x:v>experience_note</x:v>
      </x:c>
    </x:row>
    <x:row r="5" ht="15" hidden="0" customHeight="1">
      <x:c r="A5" s="50" t="str">
        <x:v>LOW</x:v>
      </x:c>
      <x:c r="B5" s="50" t="str">
        <x:v>低收益玩家</x:v>
      </x:c>
      <x:c r="C5" s="58" t="n">
        <x:f>'04_逐步推导'!F15</x:f>
        <x:v>54</x:v>
      </x:c>
      <x:c r="D5" s="58" t="n">
        <x:v>0</x:v>
      </x:c>
      <x:c r="E5" s="58" t="n">
        <x:v>5</x:v>
      </x:c>
      <x:c r="F5" s="58" t="n">
        <x:f>C5+D5</x:f>
        <x:v>54</x:v>
      </x:c>
      <x:c r="G5" s="58" t="n">
        <x:f>C5+E5</x:f>
        <x:v>59</x:v>
      </x:c>
      <x:c r="H5" s="50" t="str">
        <x:v>可覆盖四人格培养，商店余量极低</x:v>
      </x:c>
    </x:row>
    <x:row r="6" ht="15" hidden="0" customHeight="1">
      <x:c r="A6" s="51" t="str">
        <x:v>NORMAL</x:v>
      </x:c>
      <x:c r="B6" s="51" t="str">
        <x:v>正常玩家</x:v>
      </x:c>
      <x:c r="C6" s="59" t="n">
        <x:f>'04_逐步推导'!F15</x:f>
        <x:v>54</x:v>
      </x:c>
      <x:c r="D6" s="59" t="n">
        <x:v>6</x:v>
      </x:c>
      <x:c r="E6" s="59" t="n">
        <x:v>12</x:v>
      </x:c>
      <x:c r="F6" s="59" t="n">
        <x:f>C6+D6</x:f>
        <x:v>60</x:v>
      </x:c>
      <x:c r="G6" s="59" t="n">
        <x:f>C6+E6</x:f>
        <x:v>66</x:v>
      </x:c>
      <x:c r="H6" s="51" t="str">
        <x:v>四人格培养后可承担有限替换或服务</x:v>
      </x:c>
    </x:row>
    <x:row r="7" ht="24" hidden="0" customHeight="1">
      <x:c r="A7" s="51" t="str">
        <x:v>EXPERT</x:v>
      </x:c>
      <x:c r="B7" s="51" t="str">
        <x:v>高手玩家</x:v>
      </x:c>
      <x:c r="C7" s="59" t="n">
        <x:f>'04_逐步推导'!F15</x:f>
        <x:v>54</x:v>
      </x:c>
      <x:c r="D7" s="59" t="n">
        <x:v>13</x:v>
      </x:c>
      <x:c r="E7" s="59" t="n">
        <x:v>18</x:v>
      </x:c>
      <x:c r="F7" s="59" t="n">
        <x:f>C7+D7</x:f>
        <x:v>67</x:v>
      </x:c>
      <x:c r="G7" s="59" t="n">
        <x:f>C7+E7</x:f>
        <x:v>72</x:v>
      </x:c>
      <x:c r="H7" s="51" t="str">
        <x:v>可多培养一个换入人格，但不足以覆盖两次完整替换</x:v>
      </x:c>
    </x:row>
    <x:row r="8"/>
    <x:row r="9"/>
    <x:row r="10" ht="15" hidden="0" customHeight="1">
      <x:c r="A10" s="44" t="str">
        <x:v>边界</x:v>
      </x:c>
      <x:c r="B10" s="44" t="str">
        <x:v>公式</x:v>
      </x:c>
      <x:c r="C10" s="44" t="str">
        <x:v>结果</x:v>
      </x:c>
      <x:c r="D10" s="44" t="str">
        <x:v>状态</x:v>
      </x:c>
      <x:c r="E10" s="44" t="str">
        <x:v>解释</x:v>
      </x:c>
      <x:c r="F10" s="44"/>
      <x:c r="G10" s="44"/>
      <x:c r="H10" s="44"/>
    </x:row>
    <x:row r="11" ht="24" hidden="0" customHeight="1">
      <x:c r="A11" s="50" t="str">
        <x:v>正常玩家上限 vs +1 人格成本</x:v>
      </x:c>
      <x:c r="B11" s="50" t="str">
        <x:v>66 - 65</x:v>
      </x:c>
      <x:c r="C11" s="50" t="n">
        <x:f>G6-'04_逐步推导'!F12</x:f>
        <x:v>1</x:v>
      </x:c>
      <x:c r="D11" s="50" t="str">
        <x:f>IF(C11&gt;=0,"可达","不足")</x:f>
        <x:v>可达</x:v>
      </x:c>
      <x:c r="E11" s="50" t="str">
        <x:v>仅余 1 金币，替换仍有代价</x:v>
      </x:c>
      <x:c r="F11" s="50"/>
      <x:c r="G11" s="50"/>
      <x:c r="H11" s="50"/>
    </x:row>
    <x:row r="12" ht="36" hidden="0" customHeight="1">
      <x:c r="A12" s="51" t="str">
        <x:v>高手上限 vs +2 人格成本</x:v>
      </x:c>
      <x:c r="B12" s="51" t="str">
        <x:v>72 - 78</x:v>
      </x:c>
      <x:c r="C12" s="51" t="n">
        <x:f>G7-'04_逐步推导'!F13</x:f>
        <x:v>-6</x:v>
      </x:c>
      <x:c r="D12" s="51" t="str">
        <x:f>IF(C12&gt;=0,"可达","不足")</x:f>
        <x:v>不足</x:v>
      </x:c>
      <x:c r="E12" s="51" t="str">
        <x:v>仍缺 6 金币，不能无脑培养两张换入人格</x:v>
      </x:c>
      <x:c r="F12" s="51"/>
      <x:c r="G12" s="51"/>
      <x:c r="H12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6" hidden="0" customWidth="1"/>
    <x:col min="4" max="4" width="24" hidden="0" customWidth="1"/>
    <x:col min="5" max="5" width="34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21.600000381469727" hidden="0" customHeight="1">
      <x:c r="A1" s="32" t="str">
        <x:v>逐步推导</x:v>
      </x:c>
      <x:c r="B1" s="32"/>
      <x:c r="C1" s="32"/>
      <x:c r="D1" s="32"/>
      <x:c r="E1" s="32"/>
      <x:c r="F1" s="32"/>
      <x:c r="G1" s="32"/>
      <x:c r="H1" s="32"/>
    </x:row>
    <x:row r="2" ht="15" hidden="0" customHeight="1">
      <x:c r="A2" s="36" t="str">
        <x:v>体验目标 → 结构节点 → 权威输入 → 中间计算 → 完成边界。硬编码建议不会混入确认值。</x:v>
      </x:c>
      <x:c r="B2" s="36"/>
      <x:c r="C2" s="36"/>
      <x:c r="D2" s="36"/>
      <x:c r="E2" s="36"/>
      <x:c r="F2" s="36"/>
      <x:c r="G2" s="36"/>
      <x:c r="H2" s="36"/>
    </x:row>
    <x:row r="3"/>
    <x:row r="4" ht="15" hidden="0" customHeight="1">
      <x:c r="A4" s="44" t="str">
        <x:v>step</x:v>
      </x:c>
      <x:c r="B4" s="44" t="str">
        <x:v>metric</x:v>
      </x:c>
      <x:c r="C4" s="44" t="str">
        <x:v>data_role</x:v>
      </x:c>
      <x:c r="D4" s="44" t="str">
        <x:v>input_reference</x:v>
      </x:c>
      <x:c r="E4" s="44" t="str">
        <x:v>formula_plain_language</x:v>
      </x:c>
      <x:c r="F4" s="44" t="str">
        <x:v>intermediate_value</x:v>
      </x:c>
      <x:c r="G4" s="44" t="str">
        <x:v>status</x:v>
      </x:c>
      <x:c r="H4" s="44" t="str">
        <x:v>designer_note</x:v>
      </x:c>
    </x:row>
    <x:row r="5" ht="15" hidden="0" customHeight="1">
      <x:c r="A5" s="50" t="n">
        <x:v>1</x:v>
      </x:c>
      <x:c r="B5" s="50" t="str">
        <x:v>场内人格槽</x:v>
      </x:c>
      <x:c r="C5" s="52" t="str">
        <x:v>设定值</x:v>
      </x:c>
      <x:c r="D5" s="50" t="str">
        <x:v>当前请求</x:v>
      </x:c>
      <x:c r="E5" s="50" t="str">
        <x:v>确认值</x:v>
      </x:c>
      <x:c r="F5" s="58" t="n">
        <x:v>4</x:v>
      </x:c>
      <x:c r="G5" s="50" t="str">
        <x:v>CONFIRMED</x:v>
      </x:c>
      <x:c r="H5" s="50" t="str">
        <x:v>同时生效上限</x:v>
      </x:c>
    </x:row>
    <x:row r="6" ht="15" hidden="0" customHeight="1">
      <x:c r="A6" s="51" t="n">
        <x:v>2</x:v>
      </x:c>
      <x:c r="B6" s="51" t="str">
        <x:v>每人格副词条槽</x:v>
      </x:c>
      <x:c r="C6" s="53" t="str">
        <x:v>设定值</x:v>
      </x:c>
      <x:c r="D6" s="51" t="str">
        <x:v>当前请求</x:v>
      </x:c>
      <x:c r="E6" s="51" t="str">
        <x:v>确认值</x:v>
      </x:c>
      <x:c r="F6" s="59" t="n">
        <x:v>3</x:v>
      </x:c>
      <x:c r="G6" s="51" t="str">
        <x:v>CONFIRMED</x:v>
      </x:c>
      <x:c r="H6" s="51" t="str">
        <x:v>覆盖源表 2</x:v>
      </x:c>
    </x:row>
    <x:row r="7" ht="15" hidden="0" customHeight="1">
      <x:c r="A7" s="51" t="n">
        <x:v>3</x:v>
      </x:c>
      <x:c r="B7" s="51" t="str">
        <x:v>初始免费副词条</x:v>
      </x:c>
      <x:c r="C7" s="53" t="str">
        <x:v>设定值</x:v>
      </x:c>
      <x:c r="D7" s="51" t="str">
        <x:v>当前请求</x:v>
      </x:c>
      <x:c r="E7" s="51" t="str">
        <x:v>确认值</x:v>
      </x:c>
      <x:c r="F7" s="59" t="n">
        <x:v>1</x:v>
      </x:c>
      <x:c r="G7" s="51" t="str">
        <x:v>CONFIRMED</x:v>
      </x:c>
      <x:c r="H7" s="51" t="str">
        <x:v>获得人格时附带</x:v>
      </x:c>
    </x:row>
    <x:row r="8" ht="15" hidden="0" customHeight="1">
      <x:c r="A8" s="51" t="n">
        <x:v>4</x:v>
      </x:c>
      <x:c r="B8" s="51" t="str">
        <x:v>第二槽成本</x:v>
      </x:c>
      <x:c r="C8" s="53" t="str">
        <x:v>设定值</x:v>
      </x:c>
      <x:c r="D8" s="51" t="str">
        <x:v>当前请求</x:v>
      </x:c>
      <x:c r="E8" s="51" t="str">
        <x:v>确认值</x:v>
      </x:c>
      <x:c r="F8" s="59" t="n">
        <x:v>5</x:v>
      </x:c>
      <x:c r="G8" s="51" t="str">
        <x:v>CONFIRMED</x:v>
      </x:c>
      <x:c r="H8" s="51" t="str">
        <x:v>覆盖源表 6</x:v>
      </x:c>
    </x:row>
    <x:row r="9" ht="15" hidden="0" customHeight="1">
      <x:c r="A9" s="51" t="n">
        <x:v>5</x:v>
      </x:c>
      <x:c r="B9" s="51" t="str">
        <x:v>第三槽成本</x:v>
      </x:c>
      <x:c r="C9" s="53" t="str">
        <x:v>设定值</x:v>
      </x:c>
      <x:c r="D9" s="51" t="str">
        <x:v>当前请求</x:v>
      </x:c>
      <x:c r="E9" s="51" t="str">
        <x:v>确认值</x:v>
      </x:c>
      <x:c r="F9" s="59" t="n">
        <x:v>8</x:v>
      </x:c>
      <x:c r="G9" s="51" t="str">
        <x:v>CONFIRMED</x:v>
      </x:c>
      <x:c r="H9" s="51" t="str">
        <x:v>覆盖源表 12</x:v>
      </x:c>
    </x:row>
    <x:row r="10" ht="15" hidden="0" customHeight="1">
      <x:c r="A10" s="51" t="n">
        <x:v>6</x:v>
      </x:c>
      <x:c r="B10" s="51" t="str">
        <x:v>单人格满培养</x:v>
      </x:c>
      <x:c r="C10" s="51" t="str">
        <x:v>计算值</x:v>
      </x:c>
      <x:c r="D10" s="51" t="str">
        <x:v>步骤 4+5</x:v>
      </x:c>
      <x:c r="E10" s="51" t="str">
        <x:v>第二槽 + 第三槽</x:v>
      </x:c>
      <x:c r="F10" s="59" t="n">
        <x:f>F8+F9</x:f>
        <x:v>13</x:v>
      </x:c>
      <x:c r="G10" s="51" t="str">
        <x:v>CALCULATED</x:v>
      </x:c>
      <x:c r="H10" s="51" t="str">
        <x:v>首槽免费</x:v>
      </x:c>
    </x:row>
    <x:row r="11" ht="15" hidden="0" customHeight="1">
      <x:c r="A11" s="51" t="n">
        <x:v>7</x:v>
      </x:c>
      <x:c r="B11" s="51" t="str">
        <x:v>四人格满培养</x:v>
      </x:c>
      <x:c r="C11" s="51" t="str">
        <x:v>计算值</x:v>
      </x:c>
      <x:c r="D11" s="51" t="str">
        <x:v>步骤 1×6</x:v>
      </x:c>
      <x:c r="E11" s="51" t="str">
        <x:v>人格槽 × 单人格成本</x:v>
      </x:c>
      <x:c r="F11" s="59" t="n">
        <x:f>F5*F10</x:f>
        <x:v>52</x:v>
      </x:c>
      <x:c r="G11" s="51" t="str">
        <x:v>CALCULATED</x:v>
      </x:c>
      <x:c r="H11" s="51" t="str">
        <x:v>基础消费目标</x:v>
      </x:c>
    </x:row>
    <x:row r="12" ht="15" hidden="0" customHeight="1">
      <x:c r="A12" s="51" t="n">
        <x:v>8</x:v>
      </x:c>
      <x:c r="B12" s="51" t="str">
        <x:v>+1 人格满培养</x:v>
      </x:c>
      <x:c r="C12" s="51" t="str">
        <x:v>计算值</x:v>
      </x:c>
      <x:c r="D12" s="51" t="str">
        <x:v>(步骤1+1)×6</x:v>
      </x:c>
      <x:c r="E12" s="51" t="str">
        <x:v>累计为 5 个实例付费</x:v>
      </x:c>
      <x:c r="F12" s="59" t="n">
        <x:f>(F5+1)*F10</x:f>
        <x:v>65</x:v>
      </x:c>
      <x:c r="G12" s="51" t="str">
        <x:v>CALCULATED</x:v>
      </x:c>
      <x:c r="H12" s="51" t="str">
        <x:v>一次替换不返还</x:v>
      </x:c>
    </x:row>
    <x:row r="13" ht="15" hidden="0" customHeight="1">
      <x:c r="A13" s="51" t="n">
        <x:v>9</x:v>
      </x:c>
      <x:c r="B13" s="51" t="str">
        <x:v>+2 人格满培养</x:v>
      </x:c>
      <x:c r="C13" s="51" t="str">
        <x:v>计算值</x:v>
      </x:c>
      <x:c r="D13" s="51" t="str">
        <x:v>(步骤1+2)×6</x:v>
      </x:c>
      <x:c r="E13" s="51" t="str">
        <x:v>累计为 6 个实例付费</x:v>
      </x:c>
      <x:c r="F13" s="59" t="n">
        <x:f>(F5+2)*F10</x:f>
        <x:v>78</x:v>
      </x:c>
      <x:c r="G13" s="51" t="str">
        <x:v>CALCULATED</x:v>
      </x:c>
      <x:c r="H13" s="51" t="str">
        <x:v>两次替换</x:v>
      </x:c>
    </x:row>
    <x:row r="14" ht="15" hidden="0" customHeight="1">
      <x:c r="A14" s="51" t="n">
        <x:v>10</x:v>
      </x:c>
      <x:c r="B14" s="51" t="str">
        <x:v>+3 人格满培养</x:v>
      </x:c>
      <x:c r="C14" s="51" t="str">
        <x:v>计算值</x:v>
      </x:c>
      <x:c r="D14" s="51" t="str">
        <x:v>(步骤1+3)×6</x:v>
      </x:c>
      <x:c r="E14" s="51" t="str">
        <x:v>累计为 7 个实例付费</x:v>
      </x:c>
      <x:c r="F14" s="59" t="n">
        <x:f>(F5+3)*F10</x:f>
        <x:v>91</x:v>
      </x:c>
      <x:c r="G14" s="51" t="str">
        <x:v>CALCULATED</x:v>
      </x:c>
      <x:c r="H14" s="51" t="str">
        <x:v>三次替换</x:v>
      </x:c>
    </x:row>
    <x:row r="15" ht="15" hidden="0" customHeight="1">
      <x:c r="A15" s="51" t="n">
        <x:v>11</x:v>
      </x:c>
      <x:c r="B15" s="51" t="str">
        <x:v>9 战基础金币</x:v>
      </x:c>
      <x:c r="C15" s="51" t="str">
        <x:v>计算值</x:v>
      </x:c>
      <x:c r="D15" s="51" t="str">
        <x:v>05_系统模型</x:v>
      </x:c>
      <x:c r="E15" s="51" t="str">
        <x:v>所有 gold_eligible 节点金币求和</x:v>
      </x:c>
      <x:c r="F15" s="59" t="n">
        <x:f>SUM('05_系统模型'!$G$5:$G$17)</x:f>
        <x:v>54</x:v>
      </x:c>
      <x:c r="G15" s="51" t="str">
        <x:v>CALCULATED</x:v>
      </x:c>
      <x:c r="H15" s="51" t="str">
        <x:v>目标为 54</x:v>
      </x:c>
    </x:row>
    <x:row r="16" ht="15" hidden="0" customHeight="1">
      <x:c r="A16" s="51" t="n">
        <x:v>12</x:v>
      </x:c>
      <x:c r="B16" s="51" t="str">
        <x:v>建议操作奖励上限</x:v>
      </x:c>
      <x:c r="C16" s="60" t="str">
        <x:v>建议推导</x:v>
      </x:c>
      <x:c r="D16" s="51" t="str">
        <x:v>每战 2 × 9 战</x:v>
      </x:c>
      <x:c r="E16" s="51" t="str">
        <x:v>剩余出牌与弃牌各约 1</x:v>
      </x:c>
      <x:c r="F16" s="59" t="n">
        <x:f>9*2</x:f>
        <x:v>18</x:v>
      </x:c>
      <x:c r="G16" s="51" t="str">
        <x:v>PROPOSED</x:v>
      </x:c>
      <x:c r="H16" s="51" t="str">
        <x:v>正式公式尚未确认</x:v>
      </x:c>
    </x:row>
    <x:row r="17" ht="15" hidden="0" customHeight="1">
      <x:c r="A17" s="51" t="n">
        <x:v>13</x:v>
      </x:c>
      <x:c r="B17" s="51" t="str">
        <x:v>建议毛收入上限</x:v>
      </x:c>
      <x:c r="C17" s="60" t="str">
        <x:v>建议推导</x:v>
      </x:c>
      <x:c r="D17" s="51" t="str">
        <x:v>步骤11+12</x:v>
      </x:c>
      <x:c r="E17" s="51" t="str">
        <x:v>基础收入 + 操作奖励上限</x:v>
      </x:c>
      <x:c r="F17" s="59" t="n">
        <x:f>F15+F16</x:f>
        <x:v>72</x:v>
      </x:c>
      <x:c r="G17" s="51" t="str">
        <x:v>PROPOSED</x:v>
      </x:c>
      <x:c r="H17" s="51" t="str">
        <x:v>用于边界验证，不是正式结算</x:v>
      </x:c>
    </x:row>
    <x:row r="18" ht="15" hidden="0" customHeight="1">
      <x:c r="A18" s="51" t="n">
        <x:v>14</x:v>
      </x:c>
      <x:c r="B18" s="51" t="str">
        <x:v>基础收入剩余</x:v>
      </x:c>
      <x:c r="C18" s="51" t="str">
        <x:v>计算值</x:v>
      </x:c>
      <x:c r="D18" s="51" t="str">
        <x:v>步骤11-7</x:v>
      </x:c>
      <x:c r="E18" s="51" t="str">
        <x:v>基础收入扣四人格满培养</x:v>
      </x:c>
      <x:c r="F18" s="59" t="n">
        <x:f>F15-F11</x:f>
        <x:v>2</x:v>
      </x:c>
      <x:c r="G18" s="51" t="str">
        <x:v>CALCULATED</x:v>
      </x:c>
      <x:c r="H18" s="51" t="str">
        <x:v>应为 2</x:v>
      </x:c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436aae8c4ddf46fd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14" hidden="0" customWidth="1"/>
    <x:col min="4" max="4" width="18" hidden="0" customWidth="1"/>
    <x:col min="5" max="5" width="15" hidden="0" customWidth="1"/>
    <x:col min="6" max="6" width="14" hidden="0" customWidth="1"/>
    <x:col min="7" max="7" width="14" hidden="0" customWidth="1"/>
    <x:col min="8" max="8" width="15" hidden="0" customWidth="1"/>
    <x:col min="9" max="9" width="12" hidden="0" customWidth="1"/>
    <x:col min="10" max="10" width="14" hidden="0" customWidth="1"/>
    <x:col min="11" max="11" width="18" hidden="0" customWidth="1"/>
    <x:col min="12" max="12" width="10" hidden="0" customWidth="1"/>
    <x:col min="13" max="13" width="20" hidden="0" customWidth="1"/>
    <x:col min="14" max="14" width="22" hidden="0" customWidth="1"/>
  </x:cols>
  <x:sheetData>
    <x:row r="1" ht="21.600000381469727" hidden="0" customHeight="1">
      <x:c r="A1" s="32" t="str">
        <x:v>13 节点标准化模型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</x:row>
    <x:row r="2" ht="15" hidden="0" customHeight="1">
      <x:c r="A2" s="36" t="str">
        <x:v>关卡类型、产金资格和 Boss 金币按最高权威规则规范化；raw 值保留用于审计。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</x:row>
    <x:row r="3"/>
    <x:row r="4" ht="26.399999618530273" hidden="0" customHeight="1">
      <x:c r="A4" s="44" t="str">
        <x:v>stage_id</x:v>
      </x:c>
      <x:c r="B4" s="44" t="str">
        <x:v>order</x:v>
      </x:c>
      <x:c r="C4" s="44" t="str">
        <x:v>raw_type</x:v>
      </x:c>
      <x:c r="D4" s="44" t="str">
        <x:v>normalized_type</x:v>
      </x:c>
      <x:c r="E4" s="44" t="str">
        <x:v>gold_eligible</x:v>
      </x:c>
      <x:c r="F4" s="44" t="str">
        <x:v>raw_coin</x:v>
      </x:c>
      <x:c r="G4" s="44" t="str">
        <x:v>base_coin</x:v>
      </x:c>
      <x:c r="H4" s="44" t="str">
        <x:v>target_score</x:v>
      </x:c>
      <x:c r="I4" s="44" t="str">
        <x:v>play_limit</x:v>
      </x:c>
      <x:c r="J4" s="44" t="str">
        <x:v>discard_limit</x:v>
      </x:c>
      <x:c r="K4" s="44" t="str">
        <x:v>difficulty</x:v>
      </x:c>
      <x:c r="L4" s="44" t="str">
        <x:v>ai_index</x:v>
      </x:c>
      <x:c r="M4" s="44" t="str">
        <x:v>persona_generate_count</x:v>
      </x:c>
      <x:c r="N4" s="44" t="str">
        <x:v>normalization_status</x:v>
      </x:c>
    </x:row>
    <x:row r="5" ht="15" hidden="0" customHeight="1">
      <x:c r="A5" s="50" t="str">
        <x:f>'关卡流程'!A2</x:f>
        <x:v>STAGE_01</x:v>
      </x:c>
      <x:c r="B5" s="58" t="n">
        <x:f>'关卡流程'!C2</x:f>
        <x:v>1</x:v>
      </x:c>
      <x:c r="C5" s="50" t="str">
        <x:f>'关卡流程'!D2</x:f>
        <x:v>战斗</x:v>
      </x:c>
      <x:c r="D5" s="50" t="str">
        <x:f>IF(B5=13,"BOSS",IF(C5="商店","SHOP","BATTLE"))</x:f>
        <x:v>BATTLE</x:v>
      </x:c>
      <x:c r="E5" s="50" t="b">
        <x:f>IF(AND(D5="BATTLE",'关卡流程'!K2="金币"),TRUE,FALSE)</x:f>
        <x:v>1</x:v>
      </x:c>
      <x:c r="F5" s="58" t="n">
        <x:f>'关卡流程'!L2</x:f>
        <x:v>5</x:v>
      </x:c>
      <x:c r="G5" s="58" t="n">
        <x:f>IF(D5="BOSS",0,IF(E5,F5,0))</x:f>
        <x:v>5</x:v>
      </x:c>
      <x:c r="H5" s="58" t="n">
        <x:f>'关卡流程'!F2</x:f>
        <x:v>550</x:v>
      </x:c>
      <x:c r="I5" s="58" t="n">
        <x:f>'关卡流程'!G2</x:f>
        <x:v>4</x:v>
      </x:c>
      <x:c r="J5" s="58" t="n">
        <x:f>'关卡流程'!H2</x:f>
        <x:v>3</x:v>
      </x:c>
      <x:c r="K5" s="50" t="str">
        <x:f>IF(D5="BATTLE","UNSPECIFIED","N/A")</x:f>
        <x:v>UNSPECIFIED</x:v>
      </x:c>
      <x:c r="L5" s="58" t="n">
        <x:f>'关卡流程'!I2</x:f>
        <x:v>0</x:v>
      </x:c>
      <x:c r="M5" s="58" t="n">
        <x:f>'关卡流程'!J2</x:f>
        <x:v>0</x:v>
      </x:c>
      <x:c r="N5" s="50" t="str">
        <x:f>IF(B5=13,"OVERRIDDEN",IF(C5="商店","MAPPED","DIRECT"))</x:f>
        <x:v>DIRECT</x:v>
      </x:c>
    </x:row>
    <x:row r="6" ht="15" hidden="0" customHeight="1">
      <x:c r="A6" s="51" t="str">
        <x:f>'关卡流程'!A3</x:f>
        <x:v>STAGE_02</x:v>
      </x:c>
      <x:c r="B6" s="59" t="n">
        <x:f>'关卡流程'!C3</x:f>
        <x:v>2</x:v>
      </x:c>
      <x:c r="C6" s="51" t="str">
        <x:f>'关卡流程'!D3</x:f>
        <x:v>战斗</x:v>
      </x:c>
      <x:c r="D6" s="51" t="str">
        <x:f>IF(B6=13,"BOSS",IF(C6="商店","SHOP","BATTLE"))</x:f>
        <x:v>BATTLE</x:v>
      </x:c>
      <x:c r="E6" s="51" t="b">
        <x:f>IF(AND(D6="BATTLE",'关卡流程'!K3="金币"),TRUE,FALSE)</x:f>
        <x:v>1</x:v>
      </x:c>
      <x:c r="F6" s="59" t="n">
        <x:f>'关卡流程'!L3</x:f>
        <x:v>5</x:v>
      </x:c>
      <x:c r="G6" s="59" t="n">
        <x:f>IF(D6="BOSS",0,IF(E6,F6,0))</x:f>
        <x:v>5</x:v>
      </x:c>
      <x:c r="H6" s="59" t="n">
        <x:f>'关卡流程'!F3</x:f>
        <x:v>625</x:v>
      </x:c>
      <x:c r="I6" s="59" t="n">
        <x:f>'关卡流程'!G3</x:f>
        <x:v>4</x:v>
      </x:c>
      <x:c r="J6" s="59" t="n">
        <x:f>'关卡流程'!H3</x:f>
        <x:v>3</x:v>
      </x:c>
      <x:c r="K6" s="51" t="str">
        <x:f>IF(D6="BATTLE","UNSPECIFIED","N/A")</x:f>
        <x:v>UNSPECIFIED</x:v>
      </x:c>
      <x:c r="L6" s="59" t="n">
        <x:f>'关卡流程'!I3</x:f>
        <x:v>0</x:v>
      </x:c>
      <x:c r="M6" s="59" t="n">
        <x:f>'关卡流程'!J3</x:f>
        <x:v>0</x:v>
      </x:c>
      <x:c r="N6" s="51" t="str">
        <x:f>IF(B6=13,"OVERRIDDEN",IF(C6="商店","MAPPED","DIRECT"))</x:f>
        <x:v>DIRECT</x:v>
      </x:c>
    </x:row>
    <x:row r="7" ht="15" hidden="0" customHeight="1">
      <x:c r="A7" s="51" t="str">
        <x:f>'关卡流程'!A4</x:f>
        <x:v>STAGE_03</x:v>
      </x:c>
      <x:c r="B7" s="59" t="n">
        <x:f>'关卡流程'!C4</x:f>
        <x:v>3</x:v>
      </x:c>
      <x:c r="C7" s="51" t="str">
        <x:f>'关卡流程'!D4</x:f>
        <x:v>战斗</x:v>
      </x:c>
      <x:c r="D7" s="51" t="str">
        <x:f>IF(B7=13,"BOSS",IF(C7="商店","SHOP","BATTLE"))</x:f>
        <x:v>BATTLE</x:v>
      </x:c>
      <x:c r="E7" s="51" t="b">
        <x:f>IF(AND(D7="BATTLE",'关卡流程'!K4="金币"),TRUE,FALSE)</x:f>
        <x:v>1</x:v>
      </x:c>
      <x:c r="F7" s="59" t="n">
        <x:f>'关卡流程'!L4</x:f>
        <x:v>8</x:v>
      </x:c>
      <x:c r="G7" s="59" t="n">
        <x:f>IF(D7="BOSS",0,IF(E7,F7,0))</x:f>
        <x:v>8</x:v>
      </x:c>
      <x:c r="H7" s="59" t="n">
        <x:f>'关卡流程'!F4</x:f>
        <x:v>675</x:v>
      </x:c>
      <x:c r="I7" s="59" t="n">
        <x:f>'关卡流程'!G4</x:f>
        <x:v>4</x:v>
      </x:c>
      <x:c r="J7" s="59" t="n">
        <x:f>'关卡流程'!H4</x:f>
        <x:v>3</x:v>
      </x:c>
      <x:c r="K7" s="51" t="str">
        <x:f>IF(D7="BATTLE","UNSPECIFIED","N/A")</x:f>
        <x:v>UNSPECIFIED</x:v>
      </x:c>
      <x:c r="L7" s="59" t="n">
        <x:f>'关卡流程'!I4</x:f>
        <x:v>0</x:v>
      </x:c>
      <x:c r="M7" s="59" t="n">
        <x:f>'关卡流程'!J4</x:f>
        <x:v>0</x:v>
      </x:c>
      <x:c r="N7" s="51" t="str">
        <x:f>IF(B7=13,"OVERRIDDEN",IF(C7="商店","MAPPED","DIRECT"))</x:f>
        <x:v>DIRECT</x:v>
      </x:c>
    </x:row>
    <x:row r="8" ht="15" hidden="0" customHeight="1">
      <x:c r="A8" s="51" t="str">
        <x:f>'关卡流程'!A5</x:f>
        <x:v>STAGE_04</x:v>
      </x:c>
      <x:c r="B8" s="59" t="n">
        <x:f>'关卡流程'!C5</x:f>
        <x:v>4</x:v>
      </x:c>
      <x:c r="C8" s="51" t="str">
        <x:f>'关卡流程'!D5</x:f>
        <x:v>商店</x:v>
      </x:c>
      <x:c r="D8" s="51" t="str">
        <x:f>IF(B8=13,"BOSS",IF(C8="商店","SHOP","BATTLE"))</x:f>
        <x:v>SHOP</x:v>
      </x:c>
      <x:c r="E8" s="51" t="b">
        <x:f>IF(AND(D8="BATTLE",'关卡流程'!K5="金币"),TRUE,FALSE)</x:f>
        <x:v>0</x:v>
      </x:c>
      <x:c r="F8" s="59" t="str">
        <x:f>'关卡流程'!L5</x:f>
        <x:v>无</x:v>
      </x:c>
      <x:c r="G8" s="59" t="n">
        <x:f>IF(D8="BOSS",0,IF(E8,F8,0))</x:f>
        <x:v>0</x:v>
      </x:c>
      <x:c r="H8" s="59" t="n">
        <x:f>'关卡流程'!F5</x:f>
        <x:v>0</x:v>
      </x:c>
      <x:c r="I8" s="59" t="n">
        <x:f>'关卡流程'!G5</x:f>
        <x:v>0</x:v>
      </x:c>
      <x:c r="J8" s="59" t="n">
        <x:f>'关卡流程'!H5</x:f>
        <x:v>0</x:v>
      </x:c>
      <x:c r="K8" s="51" t="str">
        <x:f>IF(D8="BATTLE","UNSPECIFIED","N/A")</x:f>
        <x:v>N/A</x:v>
      </x:c>
      <x:c r="L8" s="59" t="n">
        <x:f>'关卡流程'!I5</x:f>
        <x:v>1</x:v>
      </x:c>
      <x:c r="M8" s="59" t="n">
        <x:f>'关卡流程'!J5</x:f>
        <x:v>1</x:v>
      </x:c>
      <x:c r="N8" s="51" t="str">
        <x:f>IF(B8=13,"OVERRIDDEN",IF(C8="商店","MAPPED","DIRECT"))</x:f>
        <x:v>MAPPED</x:v>
      </x:c>
    </x:row>
    <x:row r="9" ht="15" hidden="0" customHeight="1">
      <x:c r="A9" s="51" t="str">
        <x:f>'关卡流程'!A6</x:f>
        <x:v>STAGE_05</x:v>
      </x:c>
      <x:c r="B9" s="59" t="n">
        <x:f>'关卡流程'!C6</x:f>
        <x:v>5</x:v>
      </x:c>
      <x:c r="C9" s="51" t="str">
        <x:f>'关卡流程'!D6</x:f>
        <x:v>战斗</x:v>
      </x:c>
      <x:c r="D9" s="51" t="str">
        <x:f>IF(B9=13,"BOSS",IF(C9="商店","SHOP","BATTLE"))</x:f>
        <x:v>BATTLE</x:v>
      </x:c>
      <x:c r="E9" s="51" t="b">
        <x:f>IF(AND(D9="BATTLE",'关卡流程'!K6="金币"),TRUE,FALSE)</x:f>
        <x:v>1</x:v>
      </x:c>
      <x:c r="F9" s="59" t="n">
        <x:f>'关卡流程'!L6</x:f>
        <x:v>5</x:v>
      </x:c>
      <x:c r="G9" s="59" t="n">
        <x:f>IF(D9="BOSS",0,IF(E9,F9,0))</x:f>
        <x:v>5</x:v>
      </x:c>
      <x:c r="H9" s="59" t="n">
        <x:f>'关卡流程'!F6</x:f>
        <x:v>775</x:v>
      </x:c>
      <x:c r="I9" s="59" t="n">
        <x:f>'关卡流程'!G6</x:f>
        <x:v>4</x:v>
      </x:c>
      <x:c r="J9" s="59" t="n">
        <x:f>'关卡流程'!H6</x:f>
        <x:v>3</x:v>
      </x:c>
      <x:c r="K9" s="51" t="str">
        <x:f>IF(D9="BATTLE","UNSPECIFIED","N/A")</x:f>
        <x:v>UNSPECIFIED</x:v>
      </x:c>
      <x:c r="L9" s="59" t="n">
        <x:f>'关卡流程'!I6</x:f>
        <x:v>0</x:v>
      </x:c>
      <x:c r="M9" s="59" t="n">
        <x:f>'关卡流程'!J6</x:f>
        <x:v>0</x:v>
      </x:c>
      <x:c r="N9" s="51" t="str">
        <x:f>IF(B9=13,"OVERRIDDEN",IF(C9="商店","MAPPED","DIRECT"))</x:f>
        <x:v>DIRECT</x:v>
      </x:c>
    </x:row>
    <x:row r="10" ht="15" hidden="0" customHeight="1">
      <x:c r="A10" s="51" t="str">
        <x:f>'关卡流程'!A7</x:f>
        <x:v>STAGE_06</x:v>
      </x:c>
      <x:c r="B10" s="59" t="n">
        <x:f>'关卡流程'!C7</x:f>
        <x:v>6</x:v>
      </x:c>
      <x:c r="C10" s="51" t="str">
        <x:f>'关卡流程'!D7</x:f>
        <x:v>战斗</x:v>
      </x:c>
      <x:c r="D10" s="51" t="str">
        <x:f>IF(B10=13,"BOSS",IF(C10="商店","SHOP","BATTLE"))</x:f>
        <x:v>BATTLE</x:v>
      </x:c>
      <x:c r="E10" s="51" t="b">
        <x:f>IF(AND(D10="BATTLE",'关卡流程'!K7="金币"),TRUE,FALSE)</x:f>
        <x:v>1</x:v>
      </x:c>
      <x:c r="F10" s="59" t="n">
        <x:f>'关卡流程'!L7</x:f>
        <x:v>5</x:v>
      </x:c>
      <x:c r="G10" s="59" t="n">
        <x:f>IF(D10="BOSS",0,IF(E10,F10,0))</x:f>
        <x:v>5</x:v>
      </x:c>
      <x:c r="H10" s="59" t="n">
        <x:f>'关卡流程'!F7</x:f>
        <x:v>875</x:v>
      </x:c>
      <x:c r="I10" s="59" t="n">
        <x:f>'关卡流程'!G7</x:f>
        <x:v>4</x:v>
      </x:c>
      <x:c r="J10" s="59" t="n">
        <x:f>'关卡流程'!H7</x:f>
        <x:v>3</x:v>
      </x:c>
      <x:c r="K10" s="51" t="str">
        <x:f>IF(D10="BATTLE","UNSPECIFIED","N/A")</x:f>
        <x:v>UNSPECIFIED</x:v>
      </x:c>
      <x:c r="L10" s="59" t="n">
        <x:f>'关卡流程'!I7</x:f>
        <x:v>0</x:v>
      </x:c>
      <x:c r="M10" s="59" t="n">
        <x:f>'关卡流程'!J7</x:f>
        <x:v>0</x:v>
      </x:c>
      <x:c r="N10" s="51" t="str">
        <x:f>IF(B10=13,"OVERRIDDEN",IF(C10="商店","MAPPED","DIRECT"))</x:f>
        <x:v>DIRECT</x:v>
      </x:c>
    </x:row>
    <x:row r="11" ht="15" hidden="0" customHeight="1">
      <x:c r="A11" s="51" t="str">
        <x:f>'关卡流程'!A8</x:f>
        <x:v>STAGE_07</x:v>
      </x:c>
      <x:c r="B11" s="59" t="n">
        <x:f>'关卡流程'!C8</x:f>
        <x:v>7</x:v>
      </x:c>
      <x:c r="C11" s="51" t="str">
        <x:f>'关卡流程'!D8</x:f>
        <x:v>战斗</x:v>
      </x:c>
      <x:c r="D11" s="51" t="str">
        <x:f>IF(B11=13,"BOSS",IF(C11="商店","SHOP","BATTLE"))</x:f>
        <x:v>BATTLE</x:v>
      </x:c>
      <x:c r="E11" s="51" t="b">
        <x:f>IF(AND(D11="BATTLE",'关卡流程'!K8="金币"),TRUE,FALSE)</x:f>
        <x:v>1</x:v>
      </x:c>
      <x:c r="F11" s="59" t="n">
        <x:f>'关卡流程'!L8</x:f>
        <x:v>8</x:v>
      </x:c>
      <x:c r="G11" s="59" t="n">
        <x:f>IF(D11="BOSS",0,IF(E11,F11,0))</x:f>
        <x:v>8</x:v>
      </x:c>
      <x:c r="H11" s="59" t="n">
        <x:f>'关卡流程'!F8</x:f>
        <x:v>975</x:v>
      </x:c>
      <x:c r="I11" s="59" t="n">
        <x:f>'关卡流程'!G8</x:f>
        <x:v>4</x:v>
      </x:c>
      <x:c r="J11" s="59" t="n">
        <x:f>'关卡流程'!H8</x:f>
        <x:v>3</x:v>
      </x:c>
      <x:c r="K11" s="51" t="str">
        <x:f>IF(D11="BATTLE","UNSPECIFIED","N/A")</x:f>
        <x:v>UNSPECIFIED</x:v>
      </x:c>
      <x:c r="L11" s="59" t="n">
        <x:f>'关卡流程'!I8</x:f>
        <x:v>0</x:v>
      </x:c>
      <x:c r="M11" s="59" t="n">
        <x:f>'关卡流程'!J8</x:f>
        <x:v>0</x:v>
      </x:c>
      <x:c r="N11" s="51" t="str">
        <x:f>IF(B11=13,"OVERRIDDEN",IF(C11="商店","MAPPED","DIRECT"))</x:f>
        <x:v>DIRECT</x:v>
      </x:c>
    </x:row>
    <x:row r="12" ht="15" hidden="0" customHeight="1">
      <x:c r="A12" s="51" t="str">
        <x:f>'关卡流程'!A9</x:f>
        <x:v>STAGE_08</x:v>
      </x:c>
      <x:c r="B12" s="59" t="n">
        <x:f>'关卡流程'!C9</x:f>
        <x:v>8</x:v>
      </x:c>
      <x:c r="C12" s="51" t="str">
        <x:f>'关卡流程'!D9</x:f>
        <x:v>商店</x:v>
      </x:c>
      <x:c r="D12" s="51" t="str">
        <x:f>IF(B12=13,"BOSS",IF(C12="商店","SHOP","BATTLE"))</x:f>
        <x:v>SHOP</x:v>
      </x:c>
      <x:c r="E12" s="51" t="b">
        <x:f>IF(AND(D12="BATTLE",'关卡流程'!K9="金币"),TRUE,FALSE)</x:f>
        <x:v>0</x:v>
      </x:c>
      <x:c r="F12" s="59" t="str">
        <x:f>'关卡流程'!L9</x:f>
        <x:v>无</x:v>
      </x:c>
      <x:c r="G12" s="59" t="n">
        <x:f>IF(D12="BOSS",0,IF(E12,F12,0))</x:f>
        <x:v>0</x:v>
      </x:c>
      <x:c r="H12" s="59" t="n">
        <x:f>'关卡流程'!F9</x:f>
        <x:v>0</x:v>
      </x:c>
      <x:c r="I12" s="59" t="n">
        <x:f>'关卡流程'!G9</x:f>
        <x:v>0</x:v>
      </x:c>
      <x:c r="J12" s="59" t="n">
        <x:f>'关卡流程'!H9</x:f>
        <x:v>0</x:v>
      </x:c>
      <x:c r="K12" s="51" t="str">
        <x:f>IF(D12="BATTLE","UNSPECIFIED","N/A")</x:f>
        <x:v>N/A</x:v>
      </x:c>
      <x:c r="L12" s="59" t="n">
        <x:f>'关卡流程'!I9</x:f>
        <x:v>1</x:v>
      </x:c>
      <x:c r="M12" s="59" t="n">
        <x:f>'关卡流程'!J9</x:f>
        <x:v>1</x:v>
      </x:c>
      <x:c r="N12" s="51" t="str">
        <x:f>IF(B12=13,"OVERRIDDEN",IF(C12="商店","MAPPED","DIRECT"))</x:f>
        <x:v>MAPPED</x:v>
      </x:c>
    </x:row>
    <x:row r="13" ht="15" hidden="0" customHeight="1">
      <x:c r="A13" s="51" t="str">
        <x:f>'关卡流程'!A10</x:f>
        <x:v>STAGE_09</x:v>
      </x:c>
      <x:c r="B13" s="59" t="n">
        <x:f>'关卡流程'!C10</x:f>
        <x:v>9</x:v>
      </x:c>
      <x:c r="C13" s="51" t="str">
        <x:f>'关卡流程'!D10</x:f>
        <x:v>战斗</x:v>
      </x:c>
      <x:c r="D13" s="51" t="str">
        <x:f>IF(B13=13,"BOSS",IF(C13="商店","SHOP","BATTLE"))</x:f>
        <x:v>BATTLE</x:v>
      </x:c>
      <x:c r="E13" s="51" t="b">
        <x:f>IF(AND(D13="BATTLE",'关卡流程'!K10="金币"),TRUE,FALSE)</x:f>
        <x:v>1</x:v>
      </x:c>
      <x:c r="F13" s="59" t="n">
        <x:f>'关卡流程'!L10</x:f>
        <x:v>5</x:v>
      </x:c>
      <x:c r="G13" s="59" t="n">
        <x:f>IF(D13="BOSS",0,IF(E13,F13,0))</x:f>
        <x:v>5</x:v>
      </x:c>
      <x:c r="H13" s="59" t="n">
        <x:f>'关卡流程'!F10</x:f>
        <x:v>1050</x:v>
      </x:c>
      <x:c r="I13" s="59" t="n">
        <x:f>'关卡流程'!G10</x:f>
        <x:v>4</x:v>
      </x:c>
      <x:c r="J13" s="59" t="n">
        <x:f>'关卡流程'!H10</x:f>
        <x:v>3</x:v>
      </x:c>
      <x:c r="K13" s="51" t="str">
        <x:f>IF(D13="BATTLE","UNSPECIFIED","N/A")</x:f>
        <x:v>UNSPECIFIED</x:v>
      </x:c>
      <x:c r="L13" s="59" t="n">
        <x:f>'关卡流程'!I10</x:f>
        <x:v>0</x:v>
      </x:c>
      <x:c r="M13" s="59" t="n">
        <x:f>'关卡流程'!J10</x:f>
        <x:v>0</x:v>
      </x:c>
      <x:c r="N13" s="51" t="str">
        <x:f>IF(B13=13,"OVERRIDDEN",IF(C13="商店","MAPPED","DIRECT"))</x:f>
        <x:v>DIRECT</x:v>
      </x:c>
    </x:row>
    <x:row r="14" ht="15" hidden="0" customHeight="1">
      <x:c r="A14" s="51" t="str">
        <x:f>'关卡流程'!A11</x:f>
        <x:v>STAGE_10</x:v>
      </x:c>
      <x:c r="B14" s="59" t="n">
        <x:f>'关卡流程'!C11</x:f>
        <x:v>10</x:v>
      </x:c>
      <x:c r="C14" s="51" t="str">
        <x:f>'关卡流程'!D11</x:f>
        <x:v>战斗</x:v>
      </x:c>
      <x:c r="D14" s="51" t="str">
        <x:f>IF(B14=13,"BOSS",IF(C14="商店","SHOP","BATTLE"))</x:f>
        <x:v>BATTLE</x:v>
      </x:c>
      <x:c r="E14" s="51" t="b">
        <x:f>IF(AND(D14="BATTLE",'关卡流程'!K11="金币"),TRUE,FALSE)</x:f>
        <x:v>1</x:v>
      </x:c>
      <x:c r="F14" s="59" t="n">
        <x:f>'关卡流程'!L11</x:f>
        <x:v>5</x:v>
      </x:c>
      <x:c r="G14" s="59" t="n">
        <x:f>IF(D14="BOSS",0,IF(E14,F14,0))</x:f>
        <x:v>5</x:v>
      </x:c>
      <x:c r="H14" s="59" t="n">
        <x:f>'关卡流程'!F11</x:f>
        <x:v>1275</x:v>
      </x:c>
      <x:c r="I14" s="59" t="n">
        <x:f>'关卡流程'!G11</x:f>
        <x:v>4</x:v>
      </x:c>
      <x:c r="J14" s="59" t="n">
        <x:f>'关卡流程'!H11</x:f>
        <x:v>3</x:v>
      </x:c>
      <x:c r="K14" s="51" t="str">
        <x:f>IF(D14="BATTLE","UNSPECIFIED","N/A")</x:f>
        <x:v>UNSPECIFIED</x:v>
      </x:c>
      <x:c r="L14" s="59" t="n">
        <x:f>'关卡流程'!I11</x:f>
        <x:v>0</x:v>
      </x:c>
      <x:c r="M14" s="59" t="n">
        <x:f>'关卡流程'!J11</x:f>
        <x:v>0</x:v>
      </x:c>
      <x:c r="N14" s="51" t="str">
        <x:f>IF(B14=13,"OVERRIDDEN",IF(C14="商店","MAPPED","DIRECT"))</x:f>
        <x:v>DIRECT</x:v>
      </x:c>
    </x:row>
    <x:row r="15" ht="15" hidden="0" customHeight="1">
      <x:c r="A15" s="51" t="str">
        <x:f>'关卡流程'!A12</x:f>
        <x:v>STAGE_11</x:v>
      </x:c>
      <x:c r="B15" s="59" t="n">
        <x:f>'关卡流程'!C12</x:f>
        <x:v>11</x:v>
      </x:c>
      <x:c r="C15" s="51" t="str">
        <x:f>'关卡流程'!D12</x:f>
        <x:v>战斗</x:v>
      </x:c>
      <x:c r="D15" s="51" t="str">
        <x:f>IF(B15=13,"BOSS",IF(C15="商店","SHOP","BATTLE"))</x:f>
        <x:v>BATTLE</x:v>
      </x:c>
      <x:c r="E15" s="51" t="b">
        <x:f>IF(AND(D15="BATTLE",'关卡流程'!K12="金币"),TRUE,FALSE)</x:f>
        <x:v>1</x:v>
      </x:c>
      <x:c r="F15" s="59" t="n">
        <x:f>'关卡流程'!L12</x:f>
        <x:v>8</x:v>
      </x:c>
      <x:c r="G15" s="59" t="n">
        <x:f>IF(D15="BOSS",0,IF(E15,F15,0))</x:f>
        <x:v>8</x:v>
      </x:c>
      <x:c r="H15" s="59" t="n">
        <x:f>'关卡流程'!F12</x:f>
        <x:v>1475</x:v>
      </x:c>
      <x:c r="I15" s="59" t="n">
        <x:f>'关卡流程'!G12</x:f>
        <x:v>4</x:v>
      </x:c>
      <x:c r="J15" s="59" t="n">
        <x:f>'关卡流程'!H12</x:f>
        <x:v>3</x:v>
      </x:c>
      <x:c r="K15" s="51" t="str">
        <x:f>IF(D15="BATTLE","UNSPECIFIED","N/A")</x:f>
        <x:v>UNSPECIFIED</x:v>
      </x:c>
      <x:c r="L15" s="59" t="n">
        <x:f>'关卡流程'!I12</x:f>
        <x:v>0</x:v>
      </x:c>
      <x:c r="M15" s="59" t="n">
        <x:f>'关卡流程'!J12</x:f>
        <x:v>0</x:v>
      </x:c>
      <x:c r="N15" s="51" t="str">
        <x:f>IF(B15=13,"OVERRIDDEN",IF(C15="商店","MAPPED","DIRECT"))</x:f>
        <x:v>DIRECT</x:v>
      </x:c>
    </x:row>
    <x:row r="16" ht="15" hidden="0" customHeight="1">
      <x:c r="A16" s="51" t="str">
        <x:f>'关卡流程'!A13</x:f>
        <x:v>STAGE_12</x:v>
      </x:c>
      <x:c r="B16" s="59" t="n">
        <x:f>'关卡流程'!C13</x:f>
        <x:v>12</x:v>
      </x:c>
      <x:c r="C16" s="51" t="str">
        <x:f>'关卡流程'!D13</x:f>
        <x:v>商店</x:v>
      </x:c>
      <x:c r="D16" s="51" t="str">
        <x:f>IF(B16=13,"BOSS",IF(C16="商店","SHOP","BATTLE"))</x:f>
        <x:v>SHOP</x:v>
      </x:c>
      <x:c r="E16" s="51" t="b">
        <x:f>IF(AND(D16="BATTLE",'关卡流程'!K13="金币"),TRUE,FALSE)</x:f>
        <x:v>0</x:v>
      </x:c>
      <x:c r="F16" s="59" t="n">
        <x:f>'关卡流程'!L13</x:f>
        <x:v>0</x:v>
      </x:c>
      <x:c r="G16" s="59" t="n">
        <x:f>IF(D16="BOSS",0,IF(E16,F16,0))</x:f>
        <x:v>0</x:v>
      </x:c>
      <x:c r="H16" s="59" t="n">
        <x:f>'关卡流程'!F13</x:f>
        <x:v>0</x:v>
      </x:c>
      <x:c r="I16" s="59" t="n">
        <x:f>'关卡流程'!G13</x:f>
        <x:v>0</x:v>
      </x:c>
      <x:c r="J16" s="59" t="n">
        <x:f>'关卡流程'!H13</x:f>
        <x:v>0</x:v>
      </x:c>
      <x:c r="K16" s="51" t="str">
        <x:f>IF(D16="BATTLE","UNSPECIFIED","N/A")</x:f>
        <x:v>N/A</x:v>
      </x:c>
      <x:c r="L16" s="59" t="n">
        <x:f>'关卡流程'!I13</x:f>
        <x:v>1</x:v>
      </x:c>
      <x:c r="M16" s="59" t="n">
        <x:f>'关卡流程'!J13</x:f>
        <x:v>1</x:v>
      </x:c>
      <x:c r="N16" s="51" t="str">
        <x:f>IF(B16=13,"OVERRIDDEN",IF(C16="商店","MAPPED","DIRECT"))</x:f>
        <x:v>MAPPED</x:v>
      </x:c>
    </x:row>
    <x:row r="17" ht="15" hidden="0" customHeight="1">
      <x:c r="A17" s="51" t="str">
        <x:f>'关卡流程'!A14</x:f>
        <x:v>STAGE_13</x:v>
      </x:c>
      <x:c r="B17" s="59" t="n">
        <x:f>'关卡流程'!C14</x:f>
        <x:v>13</x:v>
      </x:c>
      <x:c r="C17" s="51" t="str">
        <x:f>'关卡流程'!D14</x:f>
        <x:v>战斗</x:v>
      </x:c>
      <x:c r="D17" s="51" t="str">
        <x:f>IF(B17=13,"BOSS",IF(C17="商店","SHOP","BATTLE"))</x:f>
        <x:v>BOSS</x:v>
      </x:c>
      <x:c r="E17" s="51" t="b">
        <x:f>IF(AND(D17="BATTLE",'关卡流程'!K14="金币"),TRUE,FALSE)</x:f>
        <x:v>0</x:v>
      </x:c>
      <x:c r="F17" s="59" t="str">
        <x:f>'关卡流程'!L14</x:f>
        <x:v>无</x:v>
      </x:c>
      <x:c r="G17" s="59" t="n">
        <x:f>IF(D17="BOSS",0,IF(E17,F17,0))</x:f>
        <x:v>0</x:v>
      </x:c>
      <x:c r="H17" s="59" t="n">
        <x:f>'关卡流程'!F14</x:f>
        <x:v>1900</x:v>
      </x:c>
      <x:c r="I17" s="59" t="n">
        <x:f>'关卡流程'!G14</x:f>
        <x:v>4</x:v>
      </x:c>
      <x:c r="J17" s="59" t="n">
        <x:f>'关卡流程'!H14</x:f>
        <x:v>3</x:v>
      </x:c>
      <x:c r="K17" s="51" t="str">
        <x:f>IF(D17="BATTLE","UNSPECIFIED","N/A")</x:f>
        <x:v>N/A</x:v>
      </x:c>
      <x:c r="L17" s="59" t="n">
        <x:f>'关卡流程'!I14</x:f>
        <x:v>0</x:v>
      </x:c>
      <x:c r="M17" s="59" t="n">
        <x:f>'关卡流程'!J14</x:f>
        <x:v>0</x:v>
      </x:c>
      <x:c r="N17" s="51" t="str">
        <x:f>IF(B17=13,"OVERRIDDEN",IF(C17="商店","MAPPED","DIRECT"))</x:f>
        <x:v>OVERRIDDEN</x:v>
      </x:c>
    </x:row>
  </x:sheetData>
  <x:mergeCells>
    <x:mergeCell ref="A1:N1"/>
    <x:mergeCell ref="A2:N2"/>
  </x:mergeCells>
  <x:conditionalFormatting sqref="N5:N17">
    <x:cfRule type="containsText" dxfId="0" priority="1" operator="containsText" text="OVERRIDDEN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40" hidden="0" customWidth="1"/>
    <x:col min="7" max="7" width="20" hidden="0" customWidth="1"/>
    <x:col min="8" max="8" width="36" hidden="0" customWidth="1"/>
  </x:cols>
  <x:sheetData>
    <x:row r="1" ht="21.600000381469727" hidden="0" customHeight="1">
      <x:c r="A1" s="32" t="str">
        <x:v>金币来源、培养消耗与阶段预算</x:v>
      </x:c>
      <x:c r="B1" s="32"/>
      <x:c r="C1" s="32"/>
      <x:c r="D1" s="32"/>
      <x:c r="E1" s="32"/>
      <x:c r="F1" s="32"/>
      <x:c r="G1" s="32"/>
      <x:c r="H1" s="32"/>
    </x:row>
    <x:row r="2" ht="15" hidden="0" customHeight="1">
      <x:c r="A2" s="36" t="str">
        <x:v>基础金币为确认配置；剩余出牌/弃牌奖励和玩家区间为建议推导。</x:v>
      </x:c>
      <x:c r="B2" s="36"/>
      <x:c r="C2" s="36"/>
      <x:c r="D2" s="36"/>
      <x:c r="E2" s="36"/>
      <x:c r="F2" s="36"/>
      <x:c r="G2" s="36"/>
      <x:c r="H2" s="36"/>
    </x:row>
    <x:row r="3"/>
    <x:row r="4" ht="15" hidden="0" customHeight="1">
      <x:c r="A4" s="39" t="str">
        <x:v>9 场基础金币来源</x:v>
      </x:c>
      <x:c r="B4" s="39"/>
      <x:c r="C4" s="39"/>
      <x:c r="D4" s="39"/>
      <x:c r="E4" s="39"/>
      <x:c r="F4" s="39"/>
      <x:c r="G4" s="39"/>
      <x:c r="H4" s="39"/>
    </x:row>
    <x:row r="5" ht="15" hidden="0" customHeight="1">
      <x:c r="A5" s="44" t="str">
        <x:v>battle_no</x:v>
      </x:c>
      <x:c r="B5" s="44" t="str">
        <x:v>stage_id</x:v>
      </x:c>
      <x:c r="C5" s="44" t="str">
        <x:v>base_coin</x:v>
      </x:c>
      <x:c r="D5" s="44" t="str">
        <x:v>cumulative_base</x:v>
      </x:c>
      <x:c r="E5" s="44" t="str">
        <x:v>data_role</x:v>
      </x:c>
      <x:c r="F5" s="44" t="str">
        <x:v>source</x:v>
      </x:c>
      <x:c r="G5" s="44" t="str">
        <x:v>status</x:v>
      </x:c>
      <x:c r="H5" s="44" t="str">
        <x:v>note</x:v>
      </x:c>
    </x:row>
    <x:row r="6" ht="15" hidden="0" customHeight="1">
      <x:c r="A6" s="58" t="n">
        <x:v>1</x:v>
      </x:c>
      <x:c r="B6" s="58" t="str">
        <x:f>'05_系统模型'!A5</x:f>
        <x:v>STAGE_01</x:v>
      </x:c>
      <x:c r="C6" s="58" t="n">
        <x:f>'05_系统模型'!G5</x:f>
        <x:v>5</x:v>
      </x:c>
      <x:c r="D6" s="58" t="n">
        <x:f>SUM($C$6:C6)</x:f>
        <x:v>5</x:v>
      </x:c>
      <x:c r="E6" s="50" t="str">
        <x:v>来源值</x:v>
      </x:c>
      <x:c r="F6" s="50" t="str">
        <x:v>05_系统模型</x:v>
      </x:c>
      <x:c r="G6" s="50" t="str">
        <x:v>CONFIRMED</x:v>
      </x:c>
      <x:c r="H6" s="50" t="str">
        <x:v>组内普通投放 5 金币</x:v>
      </x:c>
    </x:row>
    <x:row r="7" ht="15" hidden="0" customHeight="1">
      <x:c r="A7" s="59" t="n">
        <x:v>2</x:v>
      </x:c>
      <x:c r="B7" s="59" t="str">
        <x:f>'05_系统模型'!A6</x:f>
        <x:v>STAGE_02</x:v>
      </x:c>
      <x:c r="C7" s="59" t="n">
        <x:f>'05_系统模型'!G6</x:f>
        <x:v>5</x:v>
      </x:c>
      <x:c r="D7" s="59" t="n">
        <x:f>SUM($C$6:C7)</x:f>
        <x:v>10</x:v>
      </x:c>
      <x:c r="E7" s="51" t="str">
        <x:v>来源值</x:v>
      </x:c>
      <x:c r="F7" s="51" t="str">
        <x:v>05_系统模型</x:v>
      </x:c>
      <x:c r="G7" s="51" t="str">
        <x:v>CONFIRMED</x:v>
      </x:c>
      <x:c r="H7" s="51" t="str">
        <x:v>组内普通投放 5 金币</x:v>
      </x:c>
    </x:row>
    <x:row r="8" ht="15" hidden="0" customHeight="1">
      <x:c r="A8" s="59" t="n">
        <x:v>3</x:v>
      </x:c>
      <x:c r="B8" s="59" t="str">
        <x:f>'05_系统模型'!A7</x:f>
        <x:v>STAGE_03</x:v>
      </x:c>
      <x:c r="C8" s="59" t="n">
        <x:f>'05_系统模型'!G7</x:f>
        <x:v>8</x:v>
      </x:c>
      <x:c r="D8" s="59" t="n">
        <x:f>SUM($C$6:C8)</x:f>
        <x:v>18</x:v>
      </x:c>
      <x:c r="E8" s="51" t="str">
        <x:v>来源值</x:v>
      </x:c>
      <x:c r="F8" s="51" t="str">
        <x:v>05_系统模型</x:v>
      </x:c>
      <x:c r="G8" s="51" t="str">
        <x:v>CONFIRMED</x:v>
      </x:c>
      <x:c r="H8" s="51" t="str">
        <x:v>每组三战末关 8 金币</x:v>
      </x:c>
    </x:row>
    <x:row r="9" ht="15" hidden="0" customHeight="1">
      <x:c r="A9" s="59" t="n">
        <x:v>4</x:v>
      </x:c>
      <x:c r="B9" s="59" t="str">
        <x:f>'05_系统模型'!A9</x:f>
        <x:v>STAGE_05</x:v>
      </x:c>
      <x:c r="C9" s="59" t="n">
        <x:f>'05_系统模型'!G9</x:f>
        <x:v>5</x:v>
      </x:c>
      <x:c r="D9" s="59" t="n">
        <x:f>SUM($C$6:C9)</x:f>
        <x:v>23</x:v>
      </x:c>
      <x:c r="E9" s="51" t="str">
        <x:v>来源值</x:v>
      </x:c>
      <x:c r="F9" s="51" t="str">
        <x:v>05_系统模型</x:v>
      </x:c>
      <x:c r="G9" s="51" t="str">
        <x:v>CONFIRMED</x:v>
      </x:c>
      <x:c r="H9" s="51" t="str">
        <x:v>组内普通投放 5 金币</x:v>
      </x:c>
    </x:row>
    <x:row r="10" ht="15" hidden="0" customHeight="1">
      <x:c r="A10" s="59" t="n">
        <x:v>5</x:v>
      </x:c>
      <x:c r="B10" s="59" t="str">
        <x:f>'05_系统模型'!A10</x:f>
        <x:v>STAGE_06</x:v>
      </x:c>
      <x:c r="C10" s="59" t="n">
        <x:f>'05_系统模型'!G10</x:f>
        <x:v>5</x:v>
      </x:c>
      <x:c r="D10" s="59" t="n">
        <x:f>SUM($C$6:C10)</x:f>
        <x:v>28</x:v>
      </x:c>
      <x:c r="E10" s="51" t="str">
        <x:v>来源值</x:v>
      </x:c>
      <x:c r="F10" s="51" t="str">
        <x:v>05_系统模型</x:v>
      </x:c>
      <x:c r="G10" s="51" t="str">
        <x:v>CONFIRMED</x:v>
      </x:c>
      <x:c r="H10" s="51" t="str">
        <x:v>组内普通投放 5 金币</x:v>
      </x:c>
    </x:row>
    <x:row r="11" ht="15" hidden="0" customHeight="1">
      <x:c r="A11" s="59" t="n">
        <x:v>6</x:v>
      </x:c>
      <x:c r="B11" s="59" t="str">
        <x:f>'05_系统模型'!A11</x:f>
        <x:v>STAGE_07</x:v>
      </x:c>
      <x:c r="C11" s="59" t="n">
        <x:f>'05_系统模型'!G11</x:f>
        <x:v>8</x:v>
      </x:c>
      <x:c r="D11" s="59" t="n">
        <x:f>SUM($C$6:C11)</x:f>
        <x:v>36</x:v>
      </x:c>
      <x:c r="E11" s="51" t="str">
        <x:v>来源值</x:v>
      </x:c>
      <x:c r="F11" s="51" t="str">
        <x:v>05_系统模型</x:v>
      </x:c>
      <x:c r="G11" s="51" t="str">
        <x:v>CONFIRMED</x:v>
      </x:c>
      <x:c r="H11" s="51" t="str">
        <x:v>每组三战末关 8 金币</x:v>
      </x:c>
    </x:row>
    <x:row r="12" ht="15" hidden="0" customHeight="1">
      <x:c r="A12" s="59" t="n">
        <x:v>7</x:v>
      </x:c>
      <x:c r="B12" s="59" t="str">
        <x:f>'05_系统模型'!A13</x:f>
        <x:v>STAGE_09</x:v>
      </x:c>
      <x:c r="C12" s="59" t="n">
        <x:f>'05_系统模型'!G13</x:f>
        <x:v>5</x:v>
      </x:c>
      <x:c r="D12" s="59" t="n">
        <x:f>SUM($C$6:C12)</x:f>
        <x:v>41</x:v>
      </x:c>
      <x:c r="E12" s="51" t="str">
        <x:v>来源值</x:v>
      </x:c>
      <x:c r="F12" s="51" t="str">
        <x:v>05_系统模型</x:v>
      </x:c>
      <x:c r="G12" s="51" t="str">
        <x:v>CONFIRMED</x:v>
      </x:c>
      <x:c r="H12" s="51" t="str">
        <x:v>组内普通投放 5 金币</x:v>
      </x:c>
    </x:row>
    <x:row r="13" ht="15" hidden="0" customHeight="1">
      <x:c r="A13" s="59" t="n">
        <x:v>8</x:v>
      </x:c>
      <x:c r="B13" s="59" t="str">
        <x:f>'05_系统模型'!A14</x:f>
        <x:v>STAGE_10</x:v>
      </x:c>
      <x:c r="C13" s="59" t="n">
        <x:f>'05_系统模型'!G14</x:f>
        <x:v>5</x:v>
      </x:c>
      <x:c r="D13" s="59" t="n">
        <x:f>SUM($C$6:C13)</x:f>
        <x:v>46</x:v>
      </x:c>
      <x:c r="E13" s="51" t="str">
        <x:v>来源值</x:v>
      </x:c>
      <x:c r="F13" s="51" t="str">
        <x:v>05_系统模型</x:v>
      </x:c>
      <x:c r="G13" s="51" t="str">
        <x:v>CONFIRMED</x:v>
      </x:c>
      <x:c r="H13" s="51" t="str">
        <x:v>组内普通投放 5 金币</x:v>
      </x:c>
    </x:row>
    <x:row r="14" ht="15" hidden="0" customHeight="1">
      <x:c r="A14" s="59" t="n">
        <x:v>9</x:v>
      </x:c>
      <x:c r="B14" s="59" t="str">
        <x:f>'05_系统模型'!A15</x:f>
        <x:v>STAGE_11</x:v>
      </x:c>
      <x:c r="C14" s="59" t="n">
        <x:f>'05_系统模型'!G15</x:f>
        <x:v>8</x:v>
      </x:c>
      <x:c r="D14" s="59" t="n">
        <x:f>SUM($C$6:C14)</x:f>
        <x:v>54</x:v>
      </x:c>
      <x:c r="E14" s="51" t="str">
        <x:v>来源值</x:v>
      </x:c>
      <x:c r="F14" s="51" t="str">
        <x:v>05_系统模型</x:v>
      </x:c>
      <x:c r="G14" s="51" t="str">
        <x:v>CONFIRMED</x:v>
      </x:c>
      <x:c r="H14" s="51" t="str">
        <x:v>每组三战末关 8 金币</x:v>
      </x:c>
    </x:row>
    <x:row r="15"/>
    <x:row r="16"/>
    <x:row r="17" ht="15" hidden="0" customHeight="1">
      <x:c r="A17" s="57" t="str">
        <x:v>培养消费场景</x:v>
      </x:c>
      <x:c r="B17" s="57"/>
      <x:c r="C17" s="57"/>
      <x:c r="D17" s="57"/>
      <x:c r="E17" s="57"/>
      <x:c r="F17" s="57"/>
      <x:c r="G17" s="57"/>
      <x:c r="H17" s="57"/>
    </x:row>
    <x:row r="18" ht="26.399999618530273" hidden="0" customHeight="1">
      <x:c r="A18" s="44" t="str">
        <x:v>scenario</x:v>
      </x:c>
      <x:c r="B18" s="44" t="str">
        <x:v>paid_persona_instances</x:v>
      </x:c>
      <x:c r="C18" s="44" t="str">
        <x:v>cost_per_persona</x:v>
      </x:c>
      <x:c r="D18" s="44" t="str">
        <x:v>total_cost</x:v>
      </x:c>
      <x:c r="E18" s="44" t="str">
        <x:v>base_income_gap</x:v>
      </x:c>
      <x:c r="F18" s="44" t="str">
        <x:v>gross_max_gap</x:v>
      </x:c>
      <x:c r="G18" s="44" t="str">
        <x:v>status</x:v>
      </x:c>
      <x:c r="H18" s="44" t="str">
        <x:v>designer_note</x:v>
      </x:c>
    </x:row>
    <x:row r="19" ht="15" hidden="0" customHeight="1">
      <x:c r="A19" s="50" t="str">
        <x:v>四张现有人格全培养</x:v>
      </x:c>
      <x:c r="B19" s="58" t="n">
        <x:v>4</x:v>
      </x:c>
      <x:c r="C19" s="58" t="n">
        <x:f>'04_逐步推导'!F10</x:f>
        <x:v>13</x:v>
      </x:c>
      <x:c r="D19" s="58" t="n">
        <x:f>B19*C19</x:f>
        <x:v>52</x:v>
      </x:c>
      <x:c r="E19" s="58" t="n">
        <x:f>'04_逐步推导'!F15-D19</x:f>
        <x:v>2</x:v>
      </x:c>
      <x:c r="F19" s="58" t="n">
        <x:f>'04_逐步推导'!F17-D19</x:f>
        <x:v>20</x:v>
      </x:c>
      <x:c r="G19" s="50" t="str">
        <x:f>IF(F19&gt;=0,"建议上限可覆盖","仍有缺口")</x:f>
        <x:v>建议上限可覆盖</x:v>
      </x:c>
      <x:c r="H19" s="50" t="str">
        <x:v>BASE</x:v>
      </x:c>
    </x:row>
    <x:row r="20" ht="15" hidden="0" customHeight="1">
      <x:c r="A20" s="51" t="str">
        <x:v>替换 1 张并全培养</x:v>
      </x:c>
      <x:c r="B20" s="59" t="n">
        <x:v>5</x:v>
      </x:c>
      <x:c r="C20" s="59" t="n">
        <x:f>'04_逐步推导'!F10</x:f>
        <x:v>13</x:v>
      </x:c>
      <x:c r="D20" s="59" t="n">
        <x:f>B20*C20</x:f>
        <x:v>65</x:v>
      </x:c>
      <x:c r="E20" s="59" t="n">
        <x:f>'04_逐步推导'!F15-D20</x:f>
        <x:v>-11</x:v>
      </x:c>
      <x:c r="F20" s="59" t="n">
        <x:f>'04_逐步推导'!F17-D20</x:f>
        <x:v>7</x:v>
      </x:c>
      <x:c r="G20" s="51" t="str">
        <x:f>IF(F20&gt;=0,"建议上限可覆盖","仍有缺口")</x:f>
        <x:v>建议上限可覆盖</x:v>
      </x:c>
      <x:c r="H20" s="51" t="str">
        <x:v>ONE_REPLACEMENT</x:v>
      </x:c>
    </x:row>
    <x:row r="21" ht="15" hidden="0" customHeight="1">
      <x:c r="A21" s="51" t="str">
        <x:v>替换 2 张并全培养</x:v>
      </x:c>
      <x:c r="B21" s="59" t="n">
        <x:v>6</x:v>
      </x:c>
      <x:c r="C21" s="59" t="n">
        <x:f>'04_逐步推导'!F10</x:f>
        <x:v>13</x:v>
      </x:c>
      <x:c r="D21" s="59" t="n">
        <x:f>B21*C21</x:f>
        <x:v>78</x:v>
      </x:c>
      <x:c r="E21" s="59" t="n">
        <x:f>'04_逐步推导'!F15-D21</x:f>
        <x:v>-24</x:v>
      </x:c>
      <x:c r="F21" s="59" t="n">
        <x:f>'04_逐步推导'!F17-D21</x:f>
        <x:v>-6</x:v>
      </x:c>
      <x:c r="G21" s="51" t="str">
        <x:f>IF(F21&gt;=0,"建议上限可覆盖","仍有缺口")</x:f>
        <x:v>仍有缺口</x:v>
      </x:c>
      <x:c r="H21" s="51" t="str">
        <x:v>TWO_REPLACEMENTS</x:v>
      </x:c>
    </x:row>
    <x:row r="22" ht="15" hidden="0" customHeight="1">
      <x:c r="A22" s="51" t="str">
        <x:v>三张 AI 人格全换入并培养</x:v>
      </x:c>
      <x:c r="B22" s="59" t="n">
        <x:v>7</x:v>
      </x:c>
      <x:c r="C22" s="59" t="n">
        <x:f>'04_逐步推导'!F10</x:f>
        <x:v>13</x:v>
      </x:c>
      <x:c r="D22" s="59" t="n">
        <x:f>B22*C22</x:f>
        <x:v>91</x:v>
      </x:c>
      <x:c r="E22" s="59" t="n">
        <x:f>'04_逐步推导'!F15-D22</x:f>
        <x:v>-37</x:v>
      </x:c>
      <x:c r="F22" s="59" t="n">
        <x:f>'04_逐步推导'!F17-D22</x:f>
        <x:v>-19</x:v>
      </x:c>
      <x:c r="G22" s="51" t="str">
        <x:f>IF(F22&gt;=0,"建议上限可覆盖","仍有缺口")</x:f>
        <x:v>仍有缺口</x:v>
      </x:c>
      <x:c r="H22" s="51" t="str">
        <x:v>THREE_REPLACEMENTS</x:v>
      </x:c>
    </x:row>
    <x:row r="23"/>
    <x:row r="24" ht="15" hidden="0" customHeight="1">
      <x:c r="A24" s="39" t="str">
        <x:v>AI 节点累计预算</x:v>
      </x:c>
      <x:c r="B24" s="39"/>
      <x:c r="C24" s="39"/>
      <x:c r="D24" s="39"/>
      <x:c r="E24" s="39"/>
      <x:c r="F24" s="39"/>
      <x:c r="G24" s="39"/>
      <x:c r="H24" s="39"/>
    </x:row>
    <x:row r="25" ht="15" hidden="0" customHeight="1">
      <x:c r="A25" s="44" t="str">
        <x:v>node</x:v>
      </x:c>
      <x:c r="B25" s="44" t="str">
        <x:v>completed_battles</x:v>
      </x:c>
      <x:c r="C25" s="44" t="str">
        <x:v>cumulative_base</x:v>
      </x:c>
      <x:c r="D25" s="44" t="str">
        <x:v>gross_min</x:v>
      </x:c>
      <x:c r="E25" s="44" t="str">
        <x:v>gross_max</x:v>
      </x:c>
      <x:c r="F25" s="44" t="str">
        <x:v>recommended_action</x:v>
      </x:c>
      <x:c r="G25" s="44" t="str">
        <x:v>status</x:v>
      </x:c>
      <x:c r="H25" s="44" t="str">
        <x:v>balance_note</x:v>
      </x:c>
    </x:row>
    <x:row r="26" ht="15" hidden="0" customHeight="1">
      <x:c r="A26" s="50" t="str">
        <x:v>AI1</x:v>
      </x:c>
      <x:c r="B26" s="58" t="n">
        <x:v>3</x:v>
      </x:c>
      <x:c r="C26" s="58" t="n">
        <x:f>D8</x:f>
        <x:v>18</x:v>
      </x:c>
      <x:c r="D26" s="58" t="n">
        <x:v>18</x:v>
      </x:c>
      <x:c r="E26" s="58" t="n">
        <x:v>24</x:v>
      </x:c>
      <x:c r="F26" s="50" t="str">
        <x:v>优先解锁 2～3 张核心人格的第二副词条</x:v>
      </x:c>
      <x:c r="G26" s="50" t="str">
        <x:v>PROPOSED_RANGE</x:v>
      </x:c>
      <x:c r="H26" s="50" t="str">
        <x:v>gross 范围依赖未确认的操作奖励</x:v>
      </x:c>
    </x:row>
    <x:row r="27" ht="15" hidden="0" customHeight="1">
      <x:c r="A27" s="51" t="str">
        <x:v>AI2</x:v>
      </x:c>
      <x:c r="B27" s="59" t="n">
        <x:v>6</x:v>
      </x:c>
      <x:c r="C27" s="59" t="n">
        <x:f>D11</x:f>
        <x:v>36</x:v>
      </x:c>
      <x:c r="D27" s="59" t="n">
        <x:v>36</x:v>
      </x:c>
      <x:c r="E27" s="59" t="n">
        <x:v>48</x:v>
      </x:c>
      <x:c r="F27" s="51" t="str">
        <x:v>核心人格开启第三副词条并处理替换</x:v>
      </x:c>
      <x:c r="G27" s="51" t="str">
        <x:v>PROPOSED_RANGE</x:v>
      </x:c>
      <x:c r="H27" s="51" t="str">
        <x:v>gross 范围依赖未确认的操作奖励</x:v>
      </x:c>
    </x:row>
    <x:row r="28" ht="15" hidden="0" customHeight="1">
      <x:c r="A28" s="51" t="str">
        <x:v>AI3</x:v>
      </x:c>
      <x:c r="B28" s="59" t="n">
        <x:v>9</x:v>
      </x:c>
      <x:c r="C28" s="59" t="n">
        <x:f>D14</x:f>
        <x:v>54</x:v>
      </x:c>
      <x:c r="D28" s="59" t="n">
        <x:v>54</x:v>
      </x:c>
      <x:c r="E28" s="59" t="n">
        <x:v>72</x:v>
      </x:c>
      <x:c r="F28" s="51" t="str">
        <x:v>最终培养、替换与补强</x:v>
      </x:c>
      <x:c r="G28" s="51" t="str">
        <x:v>PROPOSED_RANGE</x:v>
      </x:c>
      <x:c r="H28" s="51" t="str">
        <x:v>gross 范围依赖未确认的操作奖励</x:v>
      </x:c>
    </x:row>
    <x:row r="29"/>
    <x:row r="30" ht="15" hidden="0" customHeight="1">
      <x:c r="A30" s="63" t="str">
        <x:v>未确认奖励公式</x:v>
      </x:c>
      <x:c r="B30" s="63"/>
      <x:c r="C30" s="63"/>
      <x:c r="D30" s="63"/>
      <x:c r="E30" s="63"/>
      <x:c r="F30" s="63"/>
      <x:c r="G30" s="63"/>
      <x:c r="H30" s="63"/>
    </x:row>
    <x:row r="31" ht="15" hidden="0" customHeight="1">
      <x:c r="A31" s="44" t="str">
        <x:v>reward</x:v>
      </x:c>
      <x:c r="B31" s="44" t="str">
        <x:v>status</x:v>
      </x:c>
      <x:c r="C31" s="44" t="str">
        <x:v>formula</x:v>
      </x:c>
      <x:c r="D31" s="44" t="str">
        <x:v>divisor</x:v>
      </x:c>
      <x:c r="E31" s="44" t="str">
        <x:v>coin_per_unit</x:v>
      </x:c>
      <x:c r="F31" s="44" t="str">
        <x:v>per_battle_max_estimate</x:v>
      </x:c>
      <x:c r="G31" s="44" t="str">
        <x:v>full_run_max_estimate</x:v>
      </x:c>
      <x:c r="H31" s="44" t="str">
        <x:v>confirmation_needed</x:v>
      </x:c>
    </x:row>
    <x:row r="32" ht="15" hidden="0" customHeight="1">
      <x:c r="A32" s="50" t="str">
        <x:v>remaining_play</x:v>
      </x:c>
      <x:c r="B32" s="64" t="str">
        <x:v>UNSPECIFIED</x:v>
      </x:c>
      <x:c r="C32" s="50" t="str">
        <x:v>floor(remaining_play / 2)</x:v>
      </x:c>
      <x:c r="D32" s="50" t="n">
        <x:v>2</x:v>
      </x:c>
      <x:c r="E32" s="50" t="n">
        <x:v>1</x:v>
      </x:c>
      <x:c r="F32" s="50" t="n">
        <x:v>1</x:v>
      </x:c>
      <x:c r="G32" s="50" t="n">
        <x:v>9</x:v>
      </x:c>
      <x:c r="H32" s="50" t="str">
        <x:v>是</x:v>
      </x:c>
    </x:row>
    <x:row r="33" ht="15" hidden="0" customHeight="1">
      <x:c r="A33" s="51" t="str">
        <x:v>remaining_discard</x:v>
      </x:c>
      <x:c r="B33" s="60" t="str">
        <x:v>UNSPECIFIED</x:v>
      </x:c>
      <x:c r="C33" s="51" t="str">
        <x:v>floor(remaining_discard / 2)</x:v>
      </x:c>
      <x:c r="D33" s="51" t="n">
        <x:v>2</x:v>
      </x:c>
      <x:c r="E33" s="51" t="n">
        <x:v>1</x:v>
      </x:c>
      <x:c r="F33" s="51" t="n">
        <x:v>1</x:v>
      </x:c>
      <x:c r="G33" s="51" t="n">
        <x:v>9</x:v>
      </x:c>
      <x:c r="H33" s="51" t="str">
        <x:v>是</x:v>
      </x:c>
    </x:row>
  </x:sheetData>
  <x:mergeCells>
    <x:mergeCell ref="A1:H1"/>
    <x:mergeCell ref="A2:H2"/>
    <x:mergeCell ref="A4:H4"/>
    <x:mergeCell ref="A17:H17"/>
    <x:mergeCell ref="A24:H24"/>
    <x:mergeCell ref="A30:H30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26" hidden="0" customWidth="1"/>
    <x:col min="10" max="10" width="32" hidden="0" customWidth="1"/>
  </x:cols>
  <x:sheetData>
    <x:row r="1" ht="21.600000381469727" hidden="0" customHeight="1">
      <x:c r="A1" s="32" t="str">
        <x:v>网页端配置表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 ht="15" hidden="0" customHeight="1">
      <x:c r="A2" s="36" t="str">
        <x:v>最终实现值必须能追溯到来源或推导；未开发字段照常保留并标记 implementation_status。</x:v>
      </x:c>
      <x:c r="B2" s="36"/>
      <x:c r="C2" s="36"/>
      <x:c r="D2" s="36"/>
      <x:c r="E2" s="36"/>
      <x:c r="F2" s="36"/>
      <x:c r="G2" s="36"/>
      <x:c r="H2" s="36"/>
      <x:c r="I2" s="36"/>
      <x:c r="J2" s="36"/>
    </x:row>
    <x:row r="3"/>
    <x:row r="4" ht="15" hidden="0" customHeight="1">
      <x:c r="A4" s="39" t="str">
        <x:v>全局规则与培养行为</x:v>
      </x:c>
      <x:c r="B4" s="39"/>
      <x:c r="C4" s="39"/>
      <x:c r="D4" s="39"/>
      <x:c r="E4" s="39"/>
      <x:c r="F4" s="39"/>
      <x:c r="G4" s="39"/>
      <x:c r="H4" s="39"/>
      <x:c r="I4" s="39"/>
      <x:c r="J4" s="39"/>
    </x:row>
    <x:row r="5" ht="15" hidden="0" customHeight="1">
      <x:c r="A5" s="44" t="str">
        <x:v>entity</x:v>
      </x:c>
      <x:c r="B5" s="44" t="str">
        <x:v>config_id</x:v>
      </x:c>
      <x:c r="C5" s="44" t="str">
        <x:v>name</x:v>
      </x:c>
      <x:c r="D5" s="44" t="str">
        <x:v>field</x:v>
      </x:c>
      <x:c r="E5" s="44" t="str">
        <x:v>raw_value</x:v>
      </x:c>
      <x:c r="F5" s="44" t="str">
        <x:v>normalized_value</x:v>
      </x:c>
      <x:c r="G5" s="44" t="str">
        <x:v>data_status</x:v>
      </x:c>
      <x:c r="H5" s="44" t="str">
        <x:v>implementation_status</x:v>
      </x:c>
      <x:c r="I5" s="44" t="str">
        <x:v>formula_source</x:v>
      </x:c>
      <x:c r="J5" s="44" t="str">
        <x:v>designer_note</x:v>
      </x:c>
    </x:row>
    <x:row r="6" ht="24" hidden="0" customHeight="1">
      <x:c r="A6" s="50" t="str">
        <x:v>GLOBAL</x:v>
      </x:c>
      <x:c r="B6" s="50" t="str">
        <x:v>RULE_ACTIVE_PERSONA_SLOTS</x:v>
      </x:c>
      <x:c r="C6" s="50" t="str">
        <x:v>场内人格槽</x:v>
      </x:c>
      <x:c r="D6" s="50" t="str">
        <x:v>active_persona_slots</x:v>
      </x:c>
      <x:c r="E6" s="50" t="n">
        <x:v>4</x:v>
      </x:c>
      <x:c r="F6" s="50" t="n">
        <x:v>4</x:v>
      </x:c>
      <x:c r="G6" s="50" t="str">
        <x:v>CONFIRMED</x:v>
      </x:c>
      <x:c r="H6" s="50" t="str">
        <x:v>CURRENT_RUNTIME_MATCHES</x:v>
      </x:c>
      <x:c r="I6" s="50" t="str">
        <x:v>04_逐步推导!F5</x:v>
      </x:c>
      <x:c r="J6" s="50" t="str">
        <x:v>同时生效 4 张</x:v>
      </x:c>
    </x:row>
    <x:row r="7" ht="15" hidden="0" customHeight="1">
      <x:c r="A7" s="51" t="str">
        <x:v>GLOBAL</x:v>
      </x:c>
      <x:c r="B7" s="51" t="str">
        <x:v>RULE_SUBTRAIT_SLOTS</x:v>
      </x:c>
      <x:c r="C7" s="51" t="str">
        <x:v>副词条槽</x:v>
      </x:c>
      <x:c r="D7" s="51" t="str">
        <x:v>subtrait_slots_per_persona</x:v>
      </x:c>
      <x:c r="E7" s="51" t="n">
        <x:v>2</x:v>
      </x:c>
      <x:c r="F7" s="51" t="n">
        <x:v>3</x:v>
      </x:c>
      <x:c r="G7" s="51" t="str">
        <x:v>OVERRIDDEN</x:v>
      </x:c>
      <x:c r="H7" s="51" t="str">
        <x:v>NOT_IMPLEMENTED</x:v>
      </x:c>
      <x:c r="I7" s="51" t="str">
        <x:v>04_逐步推导!F6</x:v>
      </x:c>
      <x:c r="J7" s="51" t="str">
        <x:v>源表八张人格均为 2</x:v>
      </x:c>
    </x:row>
    <x:row r="8" ht="15" hidden="0" customHeight="1">
      <x:c r="A8" s="51" t="str">
        <x:v>GLOBAL</x:v>
      </x:c>
      <x:c r="B8" s="51" t="str">
        <x:v>RULE_INITIAL_SUBTRAIT</x:v>
      </x:c>
      <x:c r="C8" s="51" t="str">
        <x:v>初始免费槽</x:v>
      </x:c>
      <x:c r="D8" s="51" t="str">
        <x:v>initial_unlocked_subtrait_slots</x:v>
      </x:c>
      <x:c r="E8" s="51"/>
      <x:c r="F8" s="51" t="n">
        <x:v>1</x:v>
      </x:c>
      <x:c r="G8" s="51" t="str">
        <x:v>CONFIRMED</x:v>
      </x:c>
      <x:c r="H8" s="51" t="str">
        <x:v>NOT_IMPLEMENTED</x:v>
      </x:c>
      <x:c r="I8" s="51" t="str">
        <x:v>04_逐步推导!F7</x:v>
      </x:c>
      <x:c r="J8" s="51" t="str">
        <x:v>获得人格时附带</x:v>
      </x:c>
    </x:row>
    <x:row r="9" ht="15" hidden="0" customHeight="1">
      <x:c r="A9" s="51" t="str">
        <x:v>TRAINING</x:v>
      </x:c>
      <x:c r="B9" s="51" t="str">
        <x:v>FORGE_001</x:v>
      </x:c>
      <x:c r="C9" s="51" t="str">
        <x:v>解锁第二词条</x:v>
      </x:c>
      <x:c r="D9" s="51" t="str">
        <x:v>cost</x:v>
      </x:c>
      <x:c r="E9" s="51" t="n">
        <x:v>6</x:v>
      </x:c>
      <x:c r="F9" s="51" t="n">
        <x:v>5</x:v>
      </x:c>
      <x:c r="G9" s="51" t="str">
        <x:v>OVERRIDDEN</x:v>
      </x:c>
      <x:c r="H9" s="51" t="str">
        <x:v>NOT_IMPLEMENTED</x:v>
      </x:c>
      <x:c r="I9" s="51" t="str">
        <x:v>04_逐步推导!F8</x:v>
      </x:c>
      <x:c r="J9" s="51" t="str">
        <x:v>AI1 起开放</x:v>
      </x:c>
    </x:row>
    <x:row r="10" ht="15" hidden="0" customHeight="1">
      <x:c r="A10" s="51" t="str">
        <x:v>TRAINING</x:v>
      </x:c>
      <x:c r="B10" s="51" t="str">
        <x:v>FORGE_002</x:v>
      </x:c>
      <x:c r="C10" s="51" t="str">
        <x:v>解锁第三词条</x:v>
      </x:c>
      <x:c r="D10" s="51" t="str">
        <x:v>cost</x:v>
      </x:c>
      <x:c r="E10" s="51" t="n">
        <x:v>12</x:v>
      </x:c>
      <x:c r="F10" s="51" t="n">
        <x:v>8</x:v>
      </x:c>
      <x:c r="G10" s="51" t="str">
        <x:v>OVERRIDDEN</x:v>
      </x:c>
      <x:c r="H10" s="51" t="str">
        <x:v>NOT_IMPLEMENTED</x:v>
      </x:c>
      <x:c r="I10" s="51" t="str">
        <x:v>04_逐步推导!F9</x:v>
      </x:c>
      <x:c r="J10" s="51" t="str">
        <x:v>AI2 起开放</x:v>
      </x:c>
    </x:row>
    <x:row r="11" ht="15" hidden="0" customHeight="1">
      <x:c r="A11" s="51" t="str">
        <x:v>ECONOMY</x:v>
      </x:c>
      <x:c r="B11" s="51" t="str">
        <x:v>RULE_BOSS_GOLD</x:v>
      </x:c>
      <x:c r="C11" s="51" t="str">
        <x:v>Boss 金币</x:v>
      </x:c>
      <x:c r="D11" s="51" t="str">
        <x:v>boss_gold</x:v>
      </x:c>
      <x:c r="E11" s="51" t="str">
        <x:v>无</x:v>
      </x:c>
      <x:c r="F11" s="51" t="n">
        <x:v>0</x:v>
      </x:c>
      <x:c r="G11" s="51" t="str">
        <x:v>OVERRIDDEN</x:v>
      </x:c>
      <x:c r="H11" s="51" t="str">
        <x:v>CONFIG_READY_NOT_WIRED</x:v>
      </x:c>
      <x:c r="I11" s="51" t="str">
        <x:v>05_系统模型</x:v>
      </x:c>
      <x:c r="J11" s="51" t="str">
        <x:v>整数 0</x:v>
      </x:c>
    </x:row>
    <x:row r="12"/>
    <x:row r="13"/>
    <x:row r="14" ht="15" hidden="0" customHeight="1">
      <x:c r="A14" s="57" t="str">
        <x:v>人格配置</x:v>
      </x:c>
      <x:c r="B14" s="57"/>
      <x:c r="C14" s="57"/>
      <x:c r="D14" s="57"/>
      <x:c r="E14" s="57"/>
      <x:c r="F14" s="57"/>
      <x:c r="G14" s="57"/>
      <x:c r="H14" s="57"/>
      <x:c r="I14" s="57"/>
      <x:c r="J14" s="57"/>
    </x:row>
    <x:row r="15" ht="26.399999618530273" hidden="0" customHeight="1">
      <x:c r="A15" s="44" t="str">
        <x:v>persona_id</x:v>
      </x:c>
      <x:c r="B15" s="44" t="str">
        <x:v>name</x:v>
      </x:c>
      <x:c r="C15" s="44" t="str">
        <x:v>trigger_id</x:v>
      </x:c>
      <x:c r="D15" s="44" t="str">
        <x:v>primary_effect_id</x:v>
      </x:c>
      <x:c r="E15" s="44" t="str">
        <x:v>initial_subtrait_id</x:v>
      </x:c>
      <x:c r="F15" s="44" t="str">
        <x:v>max_subtrait_slots</x:v>
      </x:c>
      <x:c r="G15" s="44" t="str">
        <x:v>initial_unlocked_slots</x:v>
      </x:c>
      <x:c r="H15" s="44" t="str">
        <x:v>pool_size</x:v>
      </x:c>
      <x:c r="I15" s="44" t="str">
        <x:v>implementation_status</x:v>
      </x:c>
      <x:c r="J15" s="44" t="str">
        <x:v>source</x:v>
      </x:c>
    </x:row>
    <x:row r="16" ht="15" hidden="0" customHeight="1">
      <x:c r="A16" s="50" t="str">
        <x:v>PER_001</x:v>
      </x:c>
      <x:c r="B16" s="50" t="str">
        <x:v>人格牌01</x:v>
      </x:c>
      <x:c r="C16" s="50" t="str">
        <x:v>ENTRY_001</x:v>
      </x:c>
      <x:c r="D16" s="50" t="str">
        <x:v>MAIN_001</x:v>
      </x:c>
      <x:c r="E16" s="50" t="str">
        <x:v>SUB_001</x:v>
      </x:c>
      <x:c r="F16" s="50" t="n">
        <x:v>3</x:v>
      </x:c>
      <x:c r="G16" s="50" t="n">
        <x:v>1</x:v>
      </x:c>
      <x:c r="H16" s="50" t="n">
        <x:v>5</x:v>
      </x:c>
      <x:c r="I16" s="50" t="str">
        <x:v>NOT_IMPLEMENTED</x:v>
      </x:c>
      <x:c r="J16" s="50" t="str">
        <x:v>人格牌配置!2</x:v>
      </x:c>
    </x:row>
    <x:row r="17" ht="15" hidden="0" customHeight="1">
      <x:c r="A17" s="51" t="str">
        <x:v>PER_002</x:v>
      </x:c>
      <x:c r="B17" s="51" t="str">
        <x:v>人格牌02</x:v>
      </x:c>
      <x:c r="C17" s="51" t="str">
        <x:v>ENTRY_002</x:v>
      </x:c>
      <x:c r="D17" s="51" t="str">
        <x:v>MAIN_002</x:v>
      </x:c>
      <x:c r="E17" s="51" t="str">
        <x:v>SUB_006</x:v>
      </x:c>
      <x:c r="F17" s="51" t="n">
        <x:v>3</x:v>
      </x:c>
      <x:c r="G17" s="51" t="n">
        <x:v>1</x:v>
      </x:c>
      <x:c r="H17" s="51" t="n">
        <x:v>5</x:v>
      </x:c>
      <x:c r="I17" s="51" t="str">
        <x:v>NOT_IMPLEMENTED</x:v>
      </x:c>
      <x:c r="J17" s="51" t="str">
        <x:v>人格牌配置!3</x:v>
      </x:c>
    </x:row>
    <x:row r="18" ht="15" hidden="0" customHeight="1">
      <x:c r="A18" s="51" t="str">
        <x:v>PER_003</x:v>
      </x:c>
      <x:c r="B18" s="51" t="str">
        <x:v>人格牌03</x:v>
      </x:c>
      <x:c r="C18" s="51" t="str">
        <x:v>ENTRY_003</x:v>
      </x:c>
      <x:c r="D18" s="51" t="str">
        <x:v>MAIN_003</x:v>
      </x:c>
      <x:c r="E18" s="51" t="str">
        <x:v>SUB_011</x:v>
      </x:c>
      <x:c r="F18" s="51" t="n">
        <x:v>3</x:v>
      </x:c>
      <x:c r="G18" s="51" t="n">
        <x:v>1</x:v>
      </x:c>
      <x:c r="H18" s="51" t="n">
        <x:v>5</x:v>
      </x:c>
      <x:c r="I18" s="51" t="str">
        <x:v>NOT_IMPLEMENTED</x:v>
      </x:c>
      <x:c r="J18" s="51" t="str">
        <x:v>人格牌配置!4</x:v>
      </x:c>
    </x:row>
    <x:row r="19" ht="15" hidden="0" customHeight="1">
      <x:c r="A19" s="51" t="str">
        <x:v>PER_004</x:v>
      </x:c>
      <x:c r="B19" s="51" t="str">
        <x:v>人格牌04</x:v>
      </x:c>
      <x:c r="C19" s="51" t="str">
        <x:v>ENTRY_004</x:v>
      </x:c>
      <x:c r="D19" s="51" t="str">
        <x:v>MAIN_004</x:v>
      </x:c>
      <x:c r="E19" s="51" t="str">
        <x:v>SUB_016</x:v>
      </x:c>
      <x:c r="F19" s="51" t="n">
        <x:v>3</x:v>
      </x:c>
      <x:c r="G19" s="51" t="n">
        <x:v>1</x:v>
      </x:c>
      <x:c r="H19" s="51" t="n">
        <x:v>5</x:v>
      </x:c>
      <x:c r="I19" s="51" t="str">
        <x:v>NOT_IMPLEMENTED</x:v>
      </x:c>
      <x:c r="J19" s="51" t="str">
        <x:v>人格牌配置!5</x:v>
      </x:c>
    </x:row>
    <x:row r="20" ht="15" hidden="0" customHeight="1">
      <x:c r="A20" s="51" t="str">
        <x:v>PER_005</x:v>
      </x:c>
      <x:c r="B20" s="51" t="str">
        <x:v>人格牌05</x:v>
      </x:c>
      <x:c r="C20" s="51" t="str">
        <x:v>ENTRY_005</x:v>
      </x:c>
      <x:c r="D20" s="51" t="str">
        <x:v>MAIN_005</x:v>
      </x:c>
      <x:c r="E20" s="51" t="str">
        <x:v>SUB_021</x:v>
      </x:c>
      <x:c r="F20" s="51" t="n">
        <x:v>3</x:v>
      </x:c>
      <x:c r="G20" s="51" t="n">
        <x:v>1</x:v>
      </x:c>
      <x:c r="H20" s="51" t="n">
        <x:v>5</x:v>
      </x:c>
      <x:c r="I20" s="51" t="str">
        <x:v>NOT_IMPLEMENTED</x:v>
      </x:c>
      <x:c r="J20" s="51" t="str">
        <x:v>人格牌配置!6</x:v>
      </x:c>
    </x:row>
    <x:row r="21" ht="15" hidden="0" customHeight="1">
      <x:c r="A21" s="51" t="str">
        <x:v>PER_006</x:v>
      </x:c>
      <x:c r="B21" s="51" t="str">
        <x:v>人格牌06</x:v>
      </x:c>
      <x:c r="C21" s="51" t="str">
        <x:v>ENTRY_006</x:v>
      </x:c>
      <x:c r="D21" s="51" t="str">
        <x:v>MAIN_006</x:v>
      </x:c>
      <x:c r="E21" s="51" t="str">
        <x:v>SUB_026</x:v>
      </x:c>
      <x:c r="F21" s="51" t="n">
        <x:v>3</x:v>
      </x:c>
      <x:c r="G21" s="51" t="n">
        <x:v>1</x:v>
      </x:c>
      <x:c r="H21" s="51" t="n">
        <x:v>5</x:v>
      </x:c>
      <x:c r="I21" s="51" t="str">
        <x:v>NOT_IMPLEMENTED</x:v>
      </x:c>
      <x:c r="J21" s="51" t="str">
        <x:v>人格牌配置!7</x:v>
      </x:c>
    </x:row>
    <x:row r="22" ht="15" hidden="0" customHeight="1">
      <x:c r="A22" s="51" t="str">
        <x:v>PER_007</x:v>
      </x:c>
      <x:c r="B22" s="51" t="str">
        <x:v>人格牌07</x:v>
      </x:c>
      <x:c r="C22" s="51" t="str">
        <x:v>ENTRY_007</x:v>
      </x:c>
      <x:c r="D22" s="51" t="str">
        <x:v>MAIN_007</x:v>
      </x:c>
      <x:c r="E22" s="51" t="str">
        <x:v>SUB_031</x:v>
      </x:c>
      <x:c r="F22" s="51" t="n">
        <x:v>3</x:v>
      </x:c>
      <x:c r="G22" s="51" t="n">
        <x:v>1</x:v>
      </x:c>
      <x:c r="H22" s="51" t="n">
        <x:v>5</x:v>
      </x:c>
      <x:c r="I22" s="51" t="str">
        <x:v>NOT_IMPLEMENTED</x:v>
      </x:c>
      <x:c r="J22" s="51" t="str">
        <x:v>人格牌配置!8</x:v>
      </x:c>
    </x:row>
    <x:row r="23" ht="15" hidden="0" customHeight="1">
      <x:c r="A23" s="51" t="str">
        <x:v>PER_008</x:v>
      </x:c>
      <x:c r="B23" s="51" t="str">
        <x:v>人格牌08</x:v>
      </x:c>
      <x:c r="C23" s="51" t="str">
        <x:v>ENTRY_008</x:v>
      </x:c>
      <x:c r="D23" s="51" t="str">
        <x:v>MAIN_008</x:v>
      </x:c>
      <x:c r="E23" s="51" t="str">
        <x:v>SUB_036</x:v>
      </x:c>
      <x:c r="F23" s="51" t="n">
        <x:v>3</x:v>
      </x:c>
      <x:c r="G23" s="51" t="n">
        <x:v>1</x:v>
      </x:c>
      <x:c r="H23" s="51" t="n">
        <x:v>5</x:v>
      </x:c>
      <x:c r="I23" s="51" t="str">
        <x:v>NOT_IMPLEMENTED</x:v>
      </x:c>
      <x:c r="J23" s="51" t="str">
        <x:v>人格牌配置!9</x:v>
      </x:c>
    </x:row>
    <x:row r="24"/>
    <x:row r="25"/>
    <x:row r="26" ht="15" hidden="0" customHeight="1">
      <x:c r="A26" s="39" t="str">
        <x:v>触发词条（已修正 ENTRY_ 前缀）</x:v>
      </x:c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 ht="15" hidden="0" customHeight="1">
      <x:c r="A27" s="44" t="str">
        <x:v>trigger_id</x:v>
      </x:c>
      <x:c r="B27" s="44" t="str">
        <x:v>raw_id</x:v>
      </x:c>
      <x:c r="C27" s="44" t="str">
        <x:v>description</x:v>
      </x:c>
      <x:c r="D27" s="44" t="str">
        <x:v>condition_type</x:v>
      </x:c>
      <x:c r="E27" s="44" t="str">
        <x:v>operator</x:v>
      </x:c>
      <x:c r="F27" s="44" t="str">
        <x:v>condition_value</x:v>
      </x:c>
      <x:c r="G27" s="44" t="str">
        <x:v>data_status</x:v>
      </x:c>
      <x:c r="H27" s="44" t="str">
        <x:v>implementation_status</x:v>
      </x:c>
      <x:c r="I27" s="44" t="str">
        <x:v>source</x:v>
      </x:c>
      <x:c r="J27" s="44" t="str">
        <x:v>note</x:v>
      </x:c>
    </x:row>
    <x:row r="28" ht="24" hidden="0" customHeight="1">
      <x:c r="A28" s="50" t="str">
        <x:v>ENTRY_001</x:v>
      </x:c>
      <x:c r="B28" s="50" t="str">
        <x:v>MAIN_001</x:v>
      </x:c>
      <x:c r="C28" s="50" t="str">
        <x:v>连续两次使用相同牌型</x:v>
      </x:c>
      <x:c r="D28" s="50" t="str">
        <x:v>连续牌型</x:v>
      </x:c>
      <x:c r="E28" s="50" t="str">
        <x:v>EQ</x:v>
      </x:c>
      <x:c r="F28" s="50" t="n">
        <x:v>2</x:v>
      </x:c>
      <x:c r="G28" s="50" t="str">
        <x:v>OVERRIDDEN_ID</x:v>
      </x:c>
      <x:c r="H28" s="50" t="str">
        <x:v>NOT_IMPLEMENTED</x:v>
      </x:c>
      <x:c r="I28" s="50" t="str">
        <x:v>人格牌_词条!2</x:v>
      </x:c>
      <x:c r="J28" s="50" t="str">
        <x:v>MAIN_ 与主属性重号</x:v>
      </x:c>
    </x:row>
    <x:row r="29" ht="15" hidden="0" customHeight="1">
      <x:c r="A29" s="51" t="str">
        <x:v>ENTRY_002</x:v>
      </x:c>
      <x:c r="B29" s="51" t="str">
        <x:v>MAIN_002</x:v>
      </x:c>
      <x:c r="C29" s="51" t="str">
        <x:v>本次计分牌数量 ≥4</x:v>
      </x:c>
      <x:c r="D29" s="51" t="str">
        <x:v>计分牌数量</x:v>
      </x:c>
      <x:c r="E29" s="51" t="str">
        <x:v>GTE</x:v>
      </x:c>
      <x:c r="F29" s="51" t="n">
        <x:v>4</x:v>
      </x:c>
      <x:c r="G29" s="51" t="str">
        <x:v>OVERRIDDEN_ID</x:v>
      </x:c>
      <x:c r="H29" s="51" t="str">
        <x:v>NOT_IMPLEMENTED</x:v>
      </x:c>
      <x:c r="I29" s="51" t="str">
        <x:v>人格牌_词条!3</x:v>
      </x:c>
      <x:c r="J29" s="51" t="str">
        <x:v>MAIN_ 与主属性重号</x:v>
      </x:c>
    </x:row>
    <x:row r="30" ht="24" hidden="0" customHeight="1">
      <x:c r="A30" s="51" t="str">
        <x:v>ENTRY_003</x:v>
      </x:c>
      <x:c r="B30" s="51" t="str">
        <x:v>MAIN_003</x:v>
      </x:c>
      <x:c r="C30" s="51" t="str">
        <x:v>打出牌型，品质为普通</x:v>
      </x:c>
      <x:c r="D30" s="51" t="str">
        <x:v>牌型品质</x:v>
      </x:c>
      <x:c r="E30" s="51" t="str">
        <x:v>EQ</x:v>
      </x:c>
      <x:c r="F30" s="51" t="str">
        <x:v>NORMAL</x:v>
      </x:c>
      <x:c r="G30" s="51" t="str">
        <x:v>OVERRIDDEN_ID</x:v>
      </x:c>
      <x:c r="H30" s="51" t="str">
        <x:v>NOT_IMPLEMENTED</x:v>
      </x:c>
      <x:c r="I30" s="51" t="str">
        <x:v>人格牌_词条!4</x:v>
      </x:c>
      <x:c r="J30" s="51" t="str">
        <x:v>MAIN_ 与主属性重号</x:v>
      </x:c>
    </x:row>
    <x:row r="31" ht="15" hidden="0" customHeight="1">
      <x:c r="A31" s="51" t="str">
        <x:v>ENTRY_004</x:v>
      </x:c>
      <x:c r="B31" s="51" t="str">
        <x:v>MAIN_004</x:v>
      </x:c>
      <x:c r="C31" s="51" t="str">
        <x:v>本回合没有使用弃牌</x:v>
      </x:c>
      <x:c r="D31" s="51" t="str">
        <x:v>弃牌次数</x:v>
      </x:c>
      <x:c r="E31" s="51" t="str">
        <x:v>EQ</x:v>
      </x:c>
      <x:c r="F31" s="51" t="n">
        <x:v>0</x:v>
      </x:c>
      <x:c r="G31" s="51" t="str">
        <x:v>OVERRIDDEN_ID</x:v>
      </x:c>
      <x:c r="H31" s="51" t="str">
        <x:v>NOT_IMPLEMENTED</x:v>
      </x:c>
      <x:c r="I31" s="51" t="str">
        <x:v>人格牌_词条!5</x:v>
      </x:c>
      <x:c r="J31" s="51" t="str">
        <x:v>MAIN_ 与主属性重号</x:v>
      </x:c>
    </x:row>
    <x:row r="32" ht="24" hidden="0" customHeight="1">
      <x:c r="A32" s="51" t="str">
        <x:v>ENTRY_005</x:v>
      </x:c>
      <x:c r="B32" s="51" t="str">
        <x:v>MAIN_005</x:v>
      </x:c>
      <x:c r="C32" s="51" t="str">
        <x:v>使用弃牌后下一次出牌</x:v>
      </x:c>
      <x:c r="D32" s="51" t="str">
        <x:v>弃牌后出牌</x:v>
      </x:c>
      <x:c r="E32" s="51" t="str">
        <x:v>EQ</x:v>
      </x:c>
      <x:c r="F32" s="51" t="n">
        <x:v>1</x:v>
      </x:c>
      <x:c r="G32" s="51" t="str">
        <x:v>OVERRIDDEN_ID</x:v>
      </x:c>
      <x:c r="H32" s="51" t="str">
        <x:v>NOT_IMPLEMENTED</x:v>
      </x:c>
      <x:c r="I32" s="51" t="str">
        <x:v>人格牌_词条!6</x:v>
      </x:c>
      <x:c r="J32" s="51" t="str">
        <x:v>MAIN_ 与主属性重号</x:v>
      </x:c>
    </x:row>
    <x:row r="33" ht="24" hidden="0" customHeight="1">
      <x:c r="A33" s="51" t="str">
        <x:v>ENTRY_006</x:v>
      </x:c>
      <x:c r="B33" s="51" t="str">
        <x:v>MAIN_006</x:v>
      </x:c>
      <x:c r="C33" s="51" t="str">
        <x:v>连续两次使用不同牌型</x:v>
      </x:c>
      <x:c r="D33" s="51" t="str">
        <x:v>连续牌型</x:v>
      </x:c>
      <x:c r="E33" s="51" t="str">
        <x:v>NEQ</x:v>
      </x:c>
      <x:c r="F33" s="51" t="n">
        <x:v>2</x:v>
      </x:c>
      <x:c r="G33" s="51" t="str">
        <x:v>OVERRIDDEN_ID</x:v>
      </x:c>
      <x:c r="H33" s="51" t="str">
        <x:v>NOT_IMPLEMENTED</x:v>
      </x:c>
      <x:c r="I33" s="51" t="str">
        <x:v>人格牌_词条!7</x:v>
      </x:c>
      <x:c r="J33" s="51" t="str">
        <x:v>MAIN_ 与主属性重号</x:v>
      </x:c>
    </x:row>
    <x:row r="34" ht="15" hidden="0" customHeight="1">
      <x:c r="A34" s="51" t="str">
        <x:v>ENTRY_007</x:v>
      </x:c>
      <x:c r="B34" s="51" t="str">
        <x:v>MAIN_007</x:v>
      </x:c>
      <x:c r="C34" s="51" t="str">
        <x:v>出牌数量不足5张</x:v>
      </x:c>
      <x:c r="D34" s="51" t="str">
        <x:v>出牌数量</x:v>
      </x:c>
      <x:c r="E34" s="51" t="str">
        <x:v>LTE</x:v>
      </x:c>
      <x:c r="F34" s="51" t="n">
        <x:v>4</x:v>
      </x:c>
      <x:c r="G34" s="51" t="str">
        <x:v>OVERRIDDEN_ID</x:v>
      </x:c>
      <x:c r="H34" s="51" t="str">
        <x:v>NOT_IMPLEMENTED</x:v>
      </x:c>
      <x:c r="I34" s="51" t="str">
        <x:v>人格牌_词条!8</x:v>
      </x:c>
      <x:c r="J34" s="51" t="str">
        <x:v>MAIN_ 与主属性重号</x:v>
      </x:c>
    </x:row>
    <x:row r="35" ht="24" hidden="0" customHeight="1">
      <x:c r="A35" s="51" t="str">
        <x:v>ENTRY_008</x:v>
      </x:c>
      <x:c r="B35" s="51" t="str">
        <x:v>MAIN_008</x:v>
      </x:c>
      <x:c r="C35" s="51" t="str">
        <x:v>打出牌型，品质为稀有</x:v>
      </x:c>
      <x:c r="D35" s="51" t="str">
        <x:v>牌型品质</x:v>
      </x:c>
      <x:c r="E35" s="51" t="str">
        <x:v>EQ</x:v>
      </x:c>
      <x:c r="F35" s="51" t="str">
        <x:v>RARE</x:v>
      </x:c>
      <x:c r="G35" s="51" t="str">
        <x:v>OVERRIDDEN_ID</x:v>
      </x:c>
      <x:c r="H35" s="51" t="str">
        <x:v>NOT_IMPLEMENTED</x:v>
      </x:c>
      <x:c r="I35" s="51" t="str">
        <x:v>人格牌_词条!9</x:v>
      </x:c>
      <x:c r="J35" s="51" t="str">
        <x:v>MAIN_ 与主属性重号</x:v>
      </x:c>
    </x:row>
    <x:row r="36"/>
    <x:row r="37"/>
    <x:row r="38" ht="15" hidden="0" customHeight="1">
      <x:c r="A38" s="57" t="str">
        <x:v>主属性</x:v>
      </x:c>
      <x:c r="B38" s="57"/>
      <x:c r="C38" s="57"/>
      <x:c r="D38" s="57"/>
      <x:c r="E38" s="57"/>
      <x:c r="F38" s="57"/>
      <x:c r="G38" s="57"/>
      <x:c r="H38" s="57"/>
      <x:c r="I38" s="57"/>
      <x:c r="J38" s="57"/>
    </x:row>
    <x:row r="39" ht="26.399999618530273" hidden="0" customHeight="1">
      <x:c r="A39" s="44" t="str">
        <x:v>effect_id</x:v>
      </x:c>
      <x:c r="B39" s="44" t="str">
        <x:v>effect_type</x:v>
      </x:c>
      <x:c r="C39" s="44" t="str">
        <x:v>operation</x:v>
      </x:c>
      <x:c r="D39" s="44" t="str">
        <x:v>value</x:v>
      </x:c>
      <x:c r="E39" s="44" t="str">
        <x:v>open_stage</x:v>
      </x:c>
      <x:c r="F39" s="44" t="str">
        <x:v>data_status</x:v>
      </x:c>
      <x:c r="G39" s="44" t="str">
        <x:v>implementation_status</x:v>
      </x:c>
      <x:c r="H39" s="44" t="str">
        <x:v>source</x:v>
      </x:c>
      <x:c r="I39" s="44" t="str">
        <x:v>designer_note</x:v>
      </x:c>
      <x:c r="J39" s="44" t="str">
        <x:v>reserved</x:v>
      </x:c>
    </x:row>
    <x:row r="40" ht="15" hidden="0" customHeight="1">
      <x:c r="A40" s="50" t="str">
        <x:v>MAIN_001</x:v>
      </x:c>
      <x:c r="B40" s="50" t="str">
        <x:v>基础筹码</x:v>
      </x:c>
      <x:c r="C40" s="50" t="str">
        <x:v>增加</x:v>
      </x:c>
      <x:c r="D40" s="50" t="n">
        <x:v>15</x:v>
      </x:c>
      <x:c r="E40" s="50" t="str">
        <x:v>默认</x:v>
      </x:c>
      <x:c r="F40" s="50" t="str">
        <x:v>LATEST_EXCEL</x:v>
      </x:c>
      <x:c r="G40" s="50" t="str">
        <x:v>NOT_IMPLEMENTED</x:v>
      </x:c>
      <x:c r="H40" s="50" t="str">
        <x:v>人格牌_主属性!2</x:v>
      </x:c>
      <x:c r="I40" s="50" t="str">
        <x:v>保留 Excel 值，尚未接入运行时</x:v>
      </x:c>
      <x:c r="J40" s="50"/>
    </x:row>
    <x:row r="41" ht="15" hidden="0" customHeight="1">
      <x:c r="A41" s="51" t="str">
        <x:v>MAIN_002</x:v>
      </x:c>
      <x:c r="B41" s="51" t="str">
        <x:v>基础倍率</x:v>
      </x:c>
      <x:c r="C41" s="51" t="str">
        <x:v>增加</x:v>
      </x:c>
      <x:c r="D41" s="51" t="n">
        <x:v>1</x:v>
      </x:c>
      <x:c r="E41" s="51" t="str">
        <x:v>默认</x:v>
      </x:c>
      <x:c r="F41" s="51" t="str">
        <x:v>LATEST_EXCEL</x:v>
      </x:c>
      <x:c r="G41" s="51" t="str">
        <x:v>NOT_IMPLEMENTED</x:v>
      </x:c>
      <x:c r="H41" s="51" t="str">
        <x:v>人格牌_主属性!3</x:v>
      </x:c>
      <x:c r="I41" s="51" t="str">
        <x:v>保留 Excel 值，尚未接入运行时</x:v>
      </x:c>
      <x:c r="J41" s="51"/>
    </x:row>
    <x:row r="42" ht="15" hidden="0" customHeight="1">
      <x:c r="A42" s="51" t="str">
        <x:v>MAIN_003</x:v>
      </x:c>
      <x:c r="B42" s="51" t="str">
        <x:v>基础筹码</x:v>
      </x:c>
      <x:c r="C42" s="51" t="str">
        <x:v>增加</x:v>
      </x:c>
      <x:c r="D42" s="51" t="n">
        <x:v>40</x:v>
      </x:c>
      <x:c r="E42" s="51" t="str">
        <x:v>默认</x:v>
      </x:c>
      <x:c r="F42" s="51" t="str">
        <x:v>LATEST_EXCEL</x:v>
      </x:c>
      <x:c r="G42" s="51" t="str">
        <x:v>NOT_IMPLEMENTED</x:v>
      </x:c>
      <x:c r="H42" s="51" t="str">
        <x:v>人格牌_主属性!4</x:v>
      </x:c>
      <x:c r="I42" s="51" t="str">
        <x:v>保留 Excel 值，尚未接入运行时</x:v>
      </x:c>
      <x:c r="J42" s="51"/>
    </x:row>
    <x:row r="43" ht="15" hidden="0" customHeight="1">
      <x:c r="A43" s="51" t="str">
        <x:v>MAIN_004</x:v>
      </x:c>
      <x:c r="B43" s="51" t="str">
        <x:v>基础筹码</x:v>
      </x:c>
      <x:c r="C43" s="51" t="str">
        <x:v>增加</x:v>
      </x:c>
      <x:c r="D43" s="51" t="n">
        <x:v>30</x:v>
      </x:c>
      <x:c r="E43" s="51" t="str">
        <x:v>默认</x:v>
      </x:c>
      <x:c r="F43" s="51" t="str">
        <x:v>LATEST_EXCEL</x:v>
      </x:c>
      <x:c r="G43" s="51" t="str">
        <x:v>NOT_IMPLEMENTED</x:v>
      </x:c>
      <x:c r="H43" s="51" t="str">
        <x:v>人格牌_主属性!5</x:v>
      </x:c>
      <x:c r="I43" s="51" t="str">
        <x:v>保留 Excel 值，尚未接入运行时</x:v>
      </x:c>
      <x:c r="J43" s="51"/>
    </x:row>
    <x:row r="44" ht="15" hidden="0" customHeight="1">
      <x:c r="A44" s="51" t="str">
        <x:v>MAIN_005</x:v>
      </x:c>
      <x:c r="B44" s="51" t="str">
        <x:v>基础倍率</x:v>
      </x:c>
      <x:c r="C44" s="51" t="str">
        <x:v>增加</x:v>
      </x:c>
      <x:c r="D44" s="51" t="n">
        <x:v>1</x:v>
      </x:c>
      <x:c r="E44" s="51" t="str">
        <x:v>默认</x:v>
      </x:c>
      <x:c r="F44" s="51" t="str">
        <x:v>LATEST_EXCEL</x:v>
      </x:c>
      <x:c r="G44" s="51" t="str">
        <x:v>NOT_IMPLEMENTED</x:v>
      </x:c>
      <x:c r="H44" s="51" t="str">
        <x:v>人格牌_主属性!6</x:v>
      </x:c>
      <x:c r="I44" s="51" t="str">
        <x:v>保留 Excel 值，尚未接入运行时</x:v>
      </x:c>
      <x:c r="J44" s="51"/>
    </x:row>
    <x:row r="45" ht="15" hidden="0" customHeight="1">
      <x:c r="A45" s="51" t="str">
        <x:v>MAIN_006</x:v>
      </x:c>
      <x:c r="B45" s="51" t="str">
        <x:v>基础筹码</x:v>
      </x:c>
      <x:c r="C45" s="51" t="str">
        <x:v>增加</x:v>
      </x:c>
      <x:c r="D45" s="51" t="n">
        <x:v>20</x:v>
      </x:c>
      <x:c r="E45" s="51" t="str">
        <x:v>默认</x:v>
      </x:c>
      <x:c r="F45" s="51" t="str">
        <x:v>LATEST_EXCEL</x:v>
      </x:c>
      <x:c r="G45" s="51" t="str">
        <x:v>NOT_IMPLEMENTED</x:v>
      </x:c>
      <x:c r="H45" s="51" t="str">
        <x:v>人格牌_主属性!7</x:v>
      </x:c>
      <x:c r="I45" s="51" t="str">
        <x:v>保留 Excel 值，尚未接入运行时</x:v>
      </x:c>
      <x:c r="J45" s="51"/>
    </x:row>
    <x:row r="46" ht="15" hidden="0" customHeight="1">
      <x:c r="A46" s="51" t="str">
        <x:v>MAIN_007</x:v>
      </x:c>
      <x:c r="B46" s="51" t="str">
        <x:v>基础筹码</x:v>
      </x:c>
      <x:c r="C46" s="51" t="str">
        <x:v>增加</x:v>
      </x:c>
      <x:c r="D46" s="51" t="n">
        <x:v>20</x:v>
      </x:c>
      <x:c r="E46" s="51" t="str">
        <x:v>默认</x:v>
      </x:c>
      <x:c r="F46" s="51" t="str">
        <x:v>LATEST_EXCEL</x:v>
      </x:c>
      <x:c r="G46" s="51" t="str">
        <x:v>NOT_IMPLEMENTED</x:v>
      </x:c>
      <x:c r="H46" s="51" t="str">
        <x:v>人格牌_主属性!8</x:v>
      </x:c>
      <x:c r="I46" s="51" t="str">
        <x:v>保留 Excel 值，尚未接入运行时</x:v>
      </x:c>
      <x:c r="J46" s="51"/>
    </x:row>
    <x:row r="47" ht="15" hidden="0" customHeight="1">
      <x:c r="A47" s="51" t="str">
        <x:v>MAIN_008</x:v>
      </x:c>
      <x:c r="B47" s="51" t="str">
        <x:v>独立倍率</x:v>
      </x:c>
      <x:c r="C47" s="51" t="str">
        <x:v>增加</x:v>
      </x:c>
      <x:c r="D47" s="51" t="n">
        <x:v>0.05</x:v>
      </x:c>
      <x:c r="E47" s="51" t="str">
        <x:v>默认</x:v>
      </x:c>
      <x:c r="F47" s="51" t="str">
        <x:v>LATEST_EXCEL</x:v>
      </x:c>
      <x:c r="G47" s="51" t="str">
        <x:v>NOT_IMPLEMENTED</x:v>
      </x:c>
      <x:c r="H47" s="51" t="str">
        <x:v>人格牌_主属性!9</x:v>
      </x:c>
      <x:c r="I47" s="51" t="str">
        <x:v>保留 Excel 值，尚未接入运行时</x:v>
      </x:c>
      <x:c r="J47" s="51"/>
    </x:row>
    <x:row r="48"/>
    <x:row r="49"/>
    <x:row r="50" ht="15" hidden="0" customHeight="1">
      <x:c r="A50" s="39" t="str">
        <x:v>副词条池</x:v>
      </x:c>
      <x:c r="B50" s="39"/>
      <x:c r="C50" s="39"/>
      <x:c r="D50" s="39"/>
      <x:c r="E50" s="39"/>
      <x:c r="F50" s="39"/>
      <x:c r="G50" s="39"/>
      <x:c r="H50" s="39"/>
      <x:c r="I50" s="39"/>
      <x:c r="J50" s="39"/>
    </x:row>
    <x:row r="51" ht="15" hidden="0" customHeight="1">
      <x:c r="A51" s="44" t="str">
        <x:v>subtrait_id</x:v>
      </x:c>
      <x:c r="B51" s="44" t="str">
        <x:v>persona_id</x:v>
      </x:c>
      <x:c r="C51" s="44" t="str">
        <x:v>weight</x:v>
      </x:c>
      <x:c r="D51" s="44" t="str">
        <x:v>effect_type</x:v>
      </x:c>
      <x:c r="E51" s="44" t="str">
        <x:v>operation</x:v>
      </x:c>
      <x:c r="F51" s="44" t="str">
        <x:v>value</x:v>
      </x:c>
      <x:c r="G51" s="44" t="str">
        <x:v>open_stage</x:v>
      </x:c>
      <x:c r="H51" s="44" t="str">
        <x:v>data_status</x:v>
      </x:c>
      <x:c r="I51" s="44" t="str">
        <x:v>implementation_status</x:v>
      </x:c>
      <x:c r="J51" s="44" t="str">
        <x:v>source</x:v>
      </x:c>
    </x:row>
    <x:row r="52" ht="15" hidden="0" customHeight="1">
      <x:c r="A52" s="50" t="str">
        <x:v>SUB_001</x:v>
      </x:c>
      <x:c r="B52" s="50" t="str">
        <x:v>PER_001</x:v>
      </x:c>
      <x:c r="C52" s="65" t="n">
        <x:v>40</x:v>
      </x:c>
      <x:c r="D52" s="50" t="str">
        <x:v>基础筹码</x:v>
      </x:c>
      <x:c r="E52" s="50" t="str">
        <x:v>增加</x:v>
      </x:c>
      <x:c r="F52" s="67" t="n">
        <x:v>8</x:v>
      </x:c>
      <x:c r="G52" s="50" t="str">
        <x:v>AI1</x:v>
      </x:c>
      <x:c r="H52" s="50" t="str">
        <x:v>LATEST_EXCEL</x:v>
      </x:c>
      <x:c r="I52" s="50" t="str">
        <x:v>NOT_IMPLEMENTED</x:v>
      </x:c>
      <x:c r="J52" s="50" t="str">
        <x:v>人格牌_次级属性!2</x:v>
      </x:c>
    </x:row>
    <x:row r="53" ht="15" hidden="0" customHeight="1">
      <x:c r="A53" s="51" t="str">
        <x:v>SUB_002</x:v>
      </x:c>
      <x:c r="B53" s="51" t="str">
        <x:v>PER_001</x:v>
      </x:c>
      <x:c r="C53" s="66" t="n">
        <x:v>25</x:v>
      </x:c>
      <x:c r="D53" s="51" t="str">
        <x:v>基础倍率</x:v>
      </x:c>
      <x:c r="E53" s="51" t="str">
        <x:v>增加</x:v>
      </x:c>
      <x:c r="F53" s="68" t="n">
        <x:v>0.3</x:v>
      </x:c>
      <x:c r="G53" s="51" t="str">
        <x:v>AI1</x:v>
      </x:c>
      <x:c r="H53" s="51" t="str">
        <x:v>LATEST_EXCEL</x:v>
      </x:c>
      <x:c r="I53" s="51" t="str">
        <x:v>NOT_IMPLEMENTED</x:v>
      </x:c>
      <x:c r="J53" s="51" t="str">
        <x:v>人格牌_次级属性!3</x:v>
      </x:c>
    </x:row>
    <x:row r="54" ht="15" hidden="0" customHeight="1">
      <x:c r="A54" s="51" t="str">
        <x:v>SUB_003</x:v>
      </x:c>
      <x:c r="B54" s="51" t="str">
        <x:v>PER_001</x:v>
      </x:c>
      <x:c r="C54" s="66" t="n">
        <x:v>20</x:v>
      </x:c>
      <x:c r="D54" s="51" t="str">
        <x:v>基础筹码</x:v>
      </x:c>
      <x:c r="E54" s="51" t="str">
        <x:v>增加</x:v>
      </x:c>
      <x:c r="F54" s="68" t="n">
        <x:v>10</x:v>
      </x:c>
      <x:c r="G54" s="51" t="str">
        <x:v>AI2</x:v>
      </x:c>
      <x:c r="H54" s="51" t="str">
        <x:v>LATEST_EXCEL</x:v>
      </x:c>
      <x:c r="I54" s="51" t="str">
        <x:v>NOT_IMPLEMENTED</x:v>
      </x:c>
      <x:c r="J54" s="51" t="str">
        <x:v>人格牌_次级属性!4</x:v>
      </x:c>
    </x:row>
    <x:row r="55" ht="15" hidden="0" customHeight="1">
      <x:c r="A55" s="51" t="str">
        <x:v>SUB_004</x:v>
      </x:c>
      <x:c r="B55" s="51" t="str">
        <x:v>PER_001</x:v>
      </x:c>
      <x:c r="C55" s="66" t="n">
        <x:v>10</x:v>
      </x:c>
      <x:c r="D55" s="51" t="str">
        <x:v>基础筹码</x:v>
      </x:c>
      <x:c r="E55" s="51" t="str">
        <x:v>增加</x:v>
      </x:c>
      <x:c r="F55" s="68" t="n">
        <x:v>20</x:v>
      </x:c>
      <x:c r="G55" s="51" t="str">
        <x:v>AI1</x:v>
      </x:c>
      <x:c r="H55" s="51" t="str">
        <x:v>LATEST_EXCEL</x:v>
      </x:c>
      <x:c r="I55" s="51" t="str">
        <x:v>NOT_IMPLEMENTED</x:v>
      </x:c>
      <x:c r="J55" s="51" t="str">
        <x:v>人格牌_次级属性!5</x:v>
      </x:c>
    </x:row>
    <x:row r="56" ht="15" hidden="0" customHeight="1">
      <x:c r="A56" s="51" t="str">
        <x:v>SUB_005</x:v>
      </x:c>
      <x:c r="B56" s="51" t="str">
        <x:v>PER_001</x:v>
      </x:c>
      <x:c r="C56" s="66" t="n">
        <x:v>5</x:v>
      </x:c>
      <x:c r="D56" s="51" t="str">
        <x:v>独立倍率</x:v>
      </x:c>
      <x:c r="E56" s="51" t="str">
        <x:v>增加</x:v>
      </x:c>
      <x:c r="F56" s="68" t="n">
        <x:v>0.03</x:v>
      </x:c>
      <x:c r="G56" s="51" t="str">
        <x:v>AI1</x:v>
      </x:c>
      <x:c r="H56" s="51" t="str">
        <x:v>LATEST_EXCEL</x:v>
      </x:c>
      <x:c r="I56" s="51" t="str">
        <x:v>NOT_IMPLEMENTED</x:v>
      </x:c>
      <x:c r="J56" s="51" t="str">
        <x:v>人格牌_次级属性!6</x:v>
      </x:c>
    </x:row>
    <x:row r="57" ht="15" hidden="0" customHeight="1">
      <x:c r="A57" s="51" t="str">
        <x:v>SUB_006</x:v>
      </x:c>
      <x:c r="B57" s="51" t="str">
        <x:v>PER_002</x:v>
      </x:c>
      <x:c r="C57" s="66" t="n">
        <x:v>35</x:v>
      </x:c>
      <x:c r="D57" s="51" t="str">
        <x:v>基础倍率</x:v>
      </x:c>
      <x:c r="E57" s="51" t="str">
        <x:v>增加</x:v>
      </x:c>
      <x:c r="F57" s="68" t="n">
        <x:v>0.3</x:v>
      </x:c>
      <x:c r="G57" s="51" t="str">
        <x:v>AI2</x:v>
      </x:c>
      <x:c r="H57" s="51" t="str">
        <x:v>LATEST_EXCEL</x:v>
      </x:c>
      <x:c r="I57" s="51" t="str">
        <x:v>NOT_IMPLEMENTED</x:v>
      </x:c>
      <x:c r="J57" s="51" t="str">
        <x:v>人格牌_次级属性!7</x:v>
      </x:c>
    </x:row>
    <x:row r="58" ht="15" hidden="0" customHeight="1">
      <x:c r="A58" s="51" t="str">
        <x:v>SUB_007</x:v>
      </x:c>
      <x:c r="B58" s="51" t="str">
        <x:v>PER_002</x:v>
      </x:c>
      <x:c r="C58" s="66" t="n">
        <x:v>30</x:v>
      </x:c>
      <x:c r="D58" s="51" t="str">
        <x:v>基础筹码</x:v>
      </x:c>
      <x:c r="E58" s="51" t="str">
        <x:v>增加</x:v>
      </x:c>
      <x:c r="F58" s="68" t="n">
        <x:v>8</x:v>
      </x:c>
      <x:c r="G58" s="51" t="str">
        <x:v>AI1</x:v>
      </x:c>
      <x:c r="H58" s="51" t="str">
        <x:v>LATEST_EXCEL</x:v>
      </x:c>
      <x:c r="I58" s="51" t="str">
        <x:v>NOT_IMPLEMENTED</x:v>
      </x:c>
      <x:c r="J58" s="51" t="str">
        <x:v>人格牌_次级属性!8</x:v>
      </x:c>
    </x:row>
    <x:row r="59" ht="15" hidden="0" customHeight="1">
      <x:c r="A59" s="51" t="str">
        <x:v>SUB_008</x:v>
      </x:c>
      <x:c r="B59" s="51" t="str">
        <x:v>PER_002</x:v>
      </x:c>
      <x:c r="C59" s="66" t="n">
        <x:v>20</x:v>
      </x:c>
      <x:c r="D59" s="51" t="str">
        <x:v>基础筹码</x:v>
      </x:c>
      <x:c r="E59" s="51" t="str">
        <x:v>增加</x:v>
      </x:c>
      <x:c r="F59" s="68" t="n">
        <x:v>12</x:v>
      </x:c>
      <x:c r="G59" s="51" t="str">
        <x:v>AI2</x:v>
      </x:c>
      <x:c r="H59" s="51" t="str">
        <x:v>LATEST_EXCEL</x:v>
      </x:c>
      <x:c r="I59" s="51" t="str">
        <x:v>NOT_IMPLEMENTED</x:v>
      </x:c>
      <x:c r="J59" s="51" t="str">
        <x:v>人格牌_次级属性!9</x:v>
      </x:c>
    </x:row>
    <x:row r="60" ht="15" hidden="0" customHeight="1">
      <x:c r="A60" s="51" t="str">
        <x:v>SUB_009</x:v>
      </x:c>
      <x:c r="B60" s="51" t="str">
        <x:v>PER_002</x:v>
      </x:c>
      <x:c r="C60" s="66" t="n">
        <x:v>10</x:v>
      </x:c>
      <x:c r="D60" s="51" t="str">
        <x:v>基础筹码</x:v>
      </x:c>
      <x:c r="E60" s="51" t="str">
        <x:v>增加</x:v>
      </x:c>
      <x:c r="F60" s="68" t="n">
        <x:v>15</x:v>
      </x:c>
      <x:c r="G60" s="51" t="str">
        <x:v>AI3</x:v>
      </x:c>
      <x:c r="H60" s="51" t="str">
        <x:v>LATEST_EXCEL</x:v>
      </x:c>
      <x:c r="I60" s="51" t="str">
        <x:v>NOT_IMPLEMENTED</x:v>
      </x:c>
      <x:c r="J60" s="51" t="str">
        <x:v>人格牌_次级属性!10</x:v>
      </x:c>
    </x:row>
    <x:row r="61" ht="15" hidden="0" customHeight="1">
      <x:c r="A61" s="51" t="str">
        <x:v>SUB_010</x:v>
      </x:c>
      <x:c r="B61" s="51" t="str">
        <x:v>PER_002</x:v>
      </x:c>
      <x:c r="C61" s="66" t="n">
        <x:v>5</x:v>
      </x:c>
      <x:c r="D61" s="51" t="str">
        <x:v>独立倍率</x:v>
      </x:c>
      <x:c r="E61" s="51" t="str">
        <x:v>增加</x:v>
      </x:c>
      <x:c r="F61" s="68" t="n">
        <x:v>0.03</x:v>
      </x:c>
      <x:c r="G61" s="51" t="str">
        <x:v>AI1</x:v>
      </x:c>
      <x:c r="H61" s="51" t="str">
        <x:v>LATEST_EXCEL</x:v>
      </x:c>
      <x:c r="I61" s="51" t="str">
        <x:v>NOT_IMPLEMENTED</x:v>
      </x:c>
      <x:c r="J61" s="51" t="str">
        <x:v>人格牌_次级属性!11</x:v>
      </x:c>
    </x:row>
    <x:row r="62" ht="15" hidden="0" customHeight="1">
      <x:c r="A62" s="51" t="str">
        <x:v>SUB_011</x:v>
      </x:c>
      <x:c r="B62" s="51" t="str">
        <x:v>PER_003</x:v>
      </x:c>
      <x:c r="C62" s="66" t="n">
        <x:v>40</x:v>
      </x:c>
      <x:c r="D62" s="51" t="str">
        <x:v>基础筹码</x:v>
      </x:c>
      <x:c r="E62" s="51" t="str">
        <x:v>增加</x:v>
      </x:c>
      <x:c r="F62" s="68" t="n">
        <x:v>15</x:v>
      </x:c>
      <x:c r="G62" s="51" t="str">
        <x:v>AI2</x:v>
      </x:c>
      <x:c r="H62" s="51" t="str">
        <x:v>LATEST_EXCEL</x:v>
      </x:c>
      <x:c r="I62" s="51" t="str">
        <x:v>NOT_IMPLEMENTED</x:v>
      </x:c>
      <x:c r="J62" s="51" t="str">
        <x:v>人格牌_次级属性!12</x:v>
      </x:c>
    </x:row>
    <x:row r="63" ht="15" hidden="0" customHeight="1">
      <x:c r="A63" s="51" t="str">
        <x:v>SUB_012</x:v>
      </x:c>
      <x:c r="B63" s="51" t="str">
        <x:v>PER_003</x:v>
      </x:c>
      <x:c r="C63" s="66" t="n">
        <x:v>25</x:v>
      </x:c>
      <x:c r="D63" s="51" t="str">
        <x:v>基础倍率</x:v>
      </x:c>
      <x:c r="E63" s="51" t="str">
        <x:v>增加</x:v>
      </x:c>
      <x:c r="F63" s="68" t="n">
        <x:v>0.5</x:v>
      </x:c>
      <x:c r="G63" s="51" t="str">
        <x:v>AI3</x:v>
      </x:c>
      <x:c r="H63" s="51" t="str">
        <x:v>LATEST_EXCEL</x:v>
      </x:c>
      <x:c r="I63" s="51" t="str">
        <x:v>NOT_IMPLEMENTED</x:v>
      </x:c>
      <x:c r="J63" s="51" t="str">
        <x:v>人格牌_次级属性!13</x:v>
      </x:c>
    </x:row>
    <x:row r="64" ht="15" hidden="0" customHeight="1">
      <x:c r="A64" s="51" t="str">
        <x:v>SUB_013</x:v>
      </x:c>
      <x:c r="B64" s="51" t="str">
        <x:v>PER_003</x:v>
      </x:c>
      <x:c r="C64" s="66" t="n">
        <x:v>15</x:v>
      </x:c>
      <x:c r="D64" s="51" t="str">
        <x:v>独立倍率</x:v>
      </x:c>
      <x:c r="E64" s="51" t="str">
        <x:v>增加</x:v>
      </x:c>
      <x:c r="F64" s="68" t="n">
        <x:v>0.03</x:v>
      </x:c>
      <x:c r="G64" s="51" t="str">
        <x:v>AI1</x:v>
      </x:c>
      <x:c r="H64" s="51" t="str">
        <x:v>LATEST_EXCEL</x:v>
      </x:c>
      <x:c r="I64" s="51" t="str">
        <x:v>NOT_IMPLEMENTED</x:v>
      </x:c>
      <x:c r="J64" s="51" t="str">
        <x:v>人格牌_次级属性!14</x:v>
      </x:c>
    </x:row>
    <x:row r="65" ht="15" hidden="0" customHeight="1">
      <x:c r="A65" s="51" t="str">
        <x:v>SUB_014</x:v>
      </x:c>
      <x:c r="B65" s="51" t="str">
        <x:v>PER_003</x:v>
      </x:c>
      <x:c r="C65" s="66" t="n">
        <x:v>10</x:v>
      </x:c>
      <x:c r="D65" s="51" t="str">
        <x:v>出牌次数</x:v>
      </x:c>
      <x:c r="E65" s="51" t="str">
        <x:v>增加</x:v>
      </x:c>
      <x:c r="F65" s="68" t="n">
        <x:v>1</x:v>
      </x:c>
      <x:c r="G65" s="51" t="str">
        <x:v>AI2</x:v>
      </x:c>
      <x:c r="H65" s="51" t="str">
        <x:v>LATEST_EXCEL</x:v>
      </x:c>
      <x:c r="I65" s="51" t="str">
        <x:v>NOT_IMPLEMENTED</x:v>
      </x:c>
      <x:c r="J65" s="51" t="str">
        <x:v>人格牌_次级属性!15</x:v>
      </x:c>
    </x:row>
    <x:row r="66" ht="15" hidden="0" customHeight="1">
      <x:c r="A66" s="51" t="str">
        <x:v>SUB_015</x:v>
      </x:c>
      <x:c r="B66" s="51" t="str">
        <x:v>PER_003</x:v>
      </x:c>
      <x:c r="C66" s="66" t="n">
        <x:v>10</x:v>
      </x:c>
      <x:c r="D66" s="51" t="str">
        <x:v>金币</x:v>
      </x:c>
      <x:c r="E66" s="51" t="str">
        <x:v>增加</x:v>
      </x:c>
      <x:c r="F66" s="68" t="n">
        <x:v>5</x:v>
      </x:c>
      <x:c r="G66" s="51" t="str">
        <x:v>AI3</x:v>
      </x:c>
      <x:c r="H66" s="51" t="str">
        <x:v>LATEST_EXCEL</x:v>
      </x:c>
      <x:c r="I66" s="51" t="str">
        <x:v>NOT_IMPLEMENTED</x:v>
      </x:c>
      <x:c r="J66" s="51" t="str">
        <x:v>人格牌_次级属性!16</x:v>
      </x:c>
    </x:row>
    <x:row r="67" ht="15" hidden="0" customHeight="1">
      <x:c r="A67" s="51" t="str">
        <x:v>SUB_016</x:v>
      </x:c>
      <x:c r="B67" s="51" t="str">
        <x:v>PER_004</x:v>
      </x:c>
      <x:c r="C67" s="66" t="n">
        <x:v>35</x:v>
      </x:c>
      <x:c r="D67" s="51" t="str">
        <x:v>基础筹码</x:v>
      </x:c>
      <x:c r="E67" s="51" t="str">
        <x:v>增加</x:v>
      </x:c>
      <x:c r="F67" s="68" t="n">
        <x:v>10</x:v>
      </x:c>
      <x:c r="G67" s="51" t="str">
        <x:v>AI1</x:v>
      </x:c>
      <x:c r="H67" s="51" t="str">
        <x:v>LATEST_EXCEL</x:v>
      </x:c>
      <x:c r="I67" s="51" t="str">
        <x:v>NOT_IMPLEMENTED</x:v>
      </x:c>
      <x:c r="J67" s="51" t="str">
        <x:v>人格牌_次级属性!17</x:v>
      </x:c>
    </x:row>
    <x:row r="68" ht="15" hidden="0" customHeight="1">
      <x:c r="A68" s="51" t="str">
        <x:v>SUB_017</x:v>
      </x:c>
      <x:c r="B68" s="51" t="str">
        <x:v>PER_004</x:v>
      </x:c>
      <x:c r="C68" s="66" t="n">
        <x:v>25</x:v>
      </x:c>
      <x:c r="D68" s="51" t="str">
        <x:v>弃牌次数</x:v>
      </x:c>
      <x:c r="E68" s="51" t="str">
        <x:v>增加</x:v>
      </x:c>
      <x:c r="F68" s="68" t="n">
        <x:v>1</x:v>
      </x:c>
      <x:c r="G68" s="51" t="str">
        <x:v>AI2</x:v>
      </x:c>
      <x:c r="H68" s="51" t="str">
        <x:v>LATEST_EXCEL</x:v>
      </x:c>
      <x:c r="I68" s="51" t="str">
        <x:v>NOT_IMPLEMENTED</x:v>
      </x:c>
      <x:c r="J68" s="51" t="str">
        <x:v>人格牌_次级属性!18</x:v>
      </x:c>
    </x:row>
    <x:row r="69" ht="15" hidden="0" customHeight="1">
      <x:c r="A69" s="51" t="str">
        <x:v>SUB_018</x:v>
      </x:c>
      <x:c r="B69" s="51" t="str">
        <x:v>PER_004</x:v>
      </x:c>
      <x:c r="C69" s="66" t="n">
        <x:v>20</x:v>
      </x:c>
      <x:c r="D69" s="51" t="str">
        <x:v>基础倍率</x:v>
      </x:c>
      <x:c r="E69" s="51" t="str">
        <x:v>增加</x:v>
      </x:c>
      <x:c r="F69" s="68" t="n">
        <x:v>0.3</x:v>
      </x:c>
      <x:c r="G69" s="51" t="str">
        <x:v>AI3</x:v>
      </x:c>
      <x:c r="H69" s="51" t="str">
        <x:v>LATEST_EXCEL</x:v>
      </x:c>
      <x:c r="I69" s="51" t="str">
        <x:v>NOT_IMPLEMENTED</x:v>
      </x:c>
      <x:c r="J69" s="51" t="str">
        <x:v>人格牌_次级属性!19</x:v>
      </x:c>
    </x:row>
    <x:row r="70" ht="15" hidden="0" customHeight="1">
      <x:c r="A70" s="51" t="str">
        <x:v>SUB_019</x:v>
      </x:c>
      <x:c r="B70" s="51" t="str">
        <x:v>PER_004</x:v>
      </x:c>
      <x:c r="C70" s="66" t="n">
        <x:v>10</x:v>
      </x:c>
      <x:c r="D70" s="51" t="str">
        <x:v>出牌次数</x:v>
      </x:c>
      <x:c r="E70" s="51" t="str">
        <x:v>增加</x:v>
      </x:c>
      <x:c r="F70" s="68" t="n">
        <x:v>1</x:v>
      </x:c>
      <x:c r="G70" s="51" t="str">
        <x:v>AI1</x:v>
      </x:c>
      <x:c r="H70" s="51" t="str">
        <x:v>LATEST_EXCEL</x:v>
      </x:c>
      <x:c r="I70" s="51" t="str">
        <x:v>NOT_IMPLEMENTED</x:v>
      </x:c>
      <x:c r="J70" s="51" t="str">
        <x:v>人格牌_次级属性!20</x:v>
      </x:c>
    </x:row>
    <x:row r="71" ht="15" hidden="0" customHeight="1">
      <x:c r="A71" s="51" t="str">
        <x:v>SUB_020</x:v>
      </x:c>
      <x:c r="B71" s="51" t="str">
        <x:v>PER_004</x:v>
      </x:c>
      <x:c r="C71" s="66" t="n">
        <x:v>10</x:v>
      </x:c>
      <x:c r="D71" s="51" t="str">
        <x:v>金币</x:v>
      </x:c>
      <x:c r="E71" s="51" t="str">
        <x:v>增加</x:v>
      </x:c>
      <x:c r="F71" s="68" t="n">
        <x:v>5</x:v>
      </x:c>
      <x:c r="G71" s="51" t="str">
        <x:v>AI2</x:v>
      </x:c>
      <x:c r="H71" s="51" t="str">
        <x:v>LATEST_EXCEL</x:v>
      </x:c>
      <x:c r="I71" s="51" t="str">
        <x:v>NOT_IMPLEMENTED</x:v>
      </x:c>
      <x:c r="J71" s="51" t="str">
        <x:v>人格牌_次级属性!21</x:v>
      </x:c>
    </x:row>
    <x:row r="72" ht="15" hidden="0" customHeight="1">
      <x:c r="A72" s="51" t="str">
        <x:v>SUB_021</x:v>
      </x:c>
      <x:c r="B72" s="51" t="str">
        <x:v>PER_005</x:v>
      </x:c>
      <x:c r="C72" s="66" t="n">
        <x:v>35</x:v>
      </x:c>
      <x:c r="D72" s="51" t="str">
        <x:v>基础倍率</x:v>
      </x:c>
      <x:c r="E72" s="51" t="str">
        <x:v>增加</x:v>
      </x:c>
      <x:c r="F72" s="68" t="n">
        <x:v>0.5</x:v>
      </x:c>
      <x:c r="G72" s="51" t="str">
        <x:v>AI3</x:v>
      </x:c>
      <x:c r="H72" s="51" t="str">
        <x:v>LATEST_EXCEL</x:v>
      </x:c>
      <x:c r="I72" s="51" t="str">
        <x:v>NOT_IMPLEMENTED</x:v>
      </x:c>
      <x:c r="J72" s="51" t="str">
        <x:v>人格牌_次级属性!22</x:v>
      </x:c>
    </x:row>
    <x:row r="73" ht="15" hidden="0" customHeight="1">
      <x:c r="A73" s="51" t="str">
        <x:v>SUB_022</x:v>
      </x:c>
      <x:c r="B73" s="51" t="str">
        <x:v>PER_005</x:v>
      </x:c>
      <x:c r="C73" s="66" t="n">
        <x:v>25</x:v>
      </x:c>
      <x:c r="D73" s="51" t="str">
        <x:v>基础筹码</x:v>
      </x:c>
      <x:c r="E73" s="51" t="str">
        <x:v>增加</x:v>
      </x:c>
      <x:c r="F73" s="68" t="n">
        <x:v>15</x:v>
      </x:c>
      <x:c r="G73" s="51" t="str">
        <x:v>AI1</x:v>
      </x:c>
      <x:c r="H73" s="51" t="str">
        <x:v>LATEST_EXCEL</x:v>
      </x:c>
      <x:c r="I73" s="51" t="str">
        <x:v>NOT_IMPLEMENTED</x:v>
      </x:c>
      <x:c r="J73" s="51" t="str">
        <x:v>人格牌_次级属性!23</x:v>
      </x:c>
    </x:row>
    <x:row r="74" ht="15" hidden="0" customHeight="1">
      <x:c r="A74" s="51" t="str">
        <x:v>SUB_023</x:v>
      </x:c>
      <x:c r="B74" s="51" t="str">
        <x:v>PER_005</x:v>
      </x:c>
      <x:c r="C74" s="66" t="n">
        <x:v>15</x:v>
      </x:c>
      <x:c r="D74" s="51" t="str">
        <x:v>弃牌次数</x:v>
      </x:c>
      <x:c r="E74" s="51" t="str">
        <x:v>增加</x:v>
      </x:c>
      <x:c r="F74" s="68" t="n">
        <x:v>1</x:v>
      </x:c>
      <x:c r="G74" s="51" t="str">
        <x:v>AI2</x:v>
      </x:c>
      <x:c r="H74" s="51" t="str">
        <x:v>LATEST_EXCEL</x:v>
      </x:c>
      <x:c r="I74" s="51" t="str">
        <x:v>NOT_IMPLEMENTED</x:v>
      </x:c>
      <x:c r="J74" s="51" t="str">
        <x:v>人格牌_次级属性!24</x:v>
      </x:c>
    </x:row>
    <x:row r="75" ht="15" hidden="0" customHeight="1">
      <x:c r="A75" s="51" t="str">
        <x:v>SUB_024</x:v>
      </x:c>
      <x:c r="B75" s="51" t="str">
        <x:v>PER_005</x:v>
      </x:c>
      <x:c r="C75" s="66" t="n">
        <x:v>15</x:v>
      </x:c>
      <x:c r="D75" s="51" t="str">
        <x:v>独立倍率</x:v>
      </x:c>
      <x:c r="E75" s="51" t="str">
        <x:v>增加</x:v>
      </x:c>
      <x:c r="F75" s="68" t="n">
        <x:v>0.03</x:v>
      </x:c>
      <x:c r="G75" s="51" t="str">
        <x:v>AI3</x:v>
      </x:c>
      <x:c r="H75" s="51" t="str">
        <x:v>LATEST_EXCEL</x:v>
      </x:c>
      <x:c r="I75" s="51" t="str">
        <x:v>NOT_IMPLEMENTED</x:v>
      </x:c>
      <x:c r="J75" s="51" t="str">
        <x:v>人格牌_次级属性!25</x:v>
      </x:c>
    </x:row>
    <x:row r="76" ht="15" hidden="0" customHeight="1">
      <x:c r="A76" s="51" t="str">
        <x:v>SUB_025</x:v>
      </x:c>
      <x:c r="B76" s="51" t="str">
        <x:v>PER_005</x:v>
      </x:c>
      <x:c r="C76" s="66" t="n">
        <x:v>10</x:v>
      </x:c>
      <x:c r="D76" s="51" t="str">
        <x:v>出牌次数</x:v>
      </x:c>
      <x:c r="E76" s="51" t="str">
        <x:v>增加</x:v>
      </x:c>
      <x:c r="F76" s="68" t="n">
        <x:v>1</x:v>
      </x:c>
      <x:c r="G76" s="51" t="str">
        <x:v>AI2</x:v>
      </x:c>
      <x:c r="H76" s="51" t="str">
        <x:v>LATEST_EXCEL</x:v>
      </x:c>
      <x:c r="I76" s="51" t="str">
        <x:v>NOT_IMPLEMENTED</x:v>
      </x:c>
      <x:c r="J76" s="51" t="str">
        <x:v>人格牌_次级属性!26</x:v>
      </x:c>
    </x:row>
    <x:row r="77" ht="15" hidden="0" customHeight="1">
      <x:c r="A77" s="51" t="str">
        <x:v>SUB_026</x:v>
      </x:c>
      <x:c r="B77" s="51" t="str">
        <x:v>PER_006</x:v>
      </x:c>
      <x:c r="C77" s="66" t="n">
        <x:v>35</x:v>
      </x:c>
      <x:c r="D77" s="51" t="str">
        <x:v>基础筹码</x:v>
      </x:c>
      <x:c r="E77" s="51" t="str">
        <x:v>增加</x:v>
      </x:c>
      <x:c r="F77" s="68" t="n">
        <x:v>10</x:v>
      </x:c>
      <x:c r="G77" s="51" t="str">
        <x:v>AI1</x:v>
      </x:c>
      <x:c r="H77" s="51" t="str">
        <x:v>LATEST_EXCEL</x:v>
      </x:c>
      <x:c r="I77" s="51" t="str">
        <x:v>NOT_IMPLEMENTED</x:v>
      </x:c>
      <x:c r="J77" s="51" t="str">
        <x:v>人格牌_次级属性!27</x:v>
      </x:c>
    </x:row>
    <x:row r="78" ht="15" hidden="0" customHeight="1">
      <x:c r="A78" s="51" t="str">
        <x:v>SUB_027</x:v>
      </x:c>
      <x:c r="B78" s="51" t="str">
        <x:v>PER_006</x:v>
      </x:c>
      <x:c r="C78" s="66" t="n">
        <x:v>25</x:v>
      </x:c>
      <x:c r="D78" s="51" t="str">
        <x:v>基础倍率</x:v>
      </x:c>
      <x:c r="E78" s="51" t="str">
        <x:v>增加</x:v>
      </x:c>
      <x:c r="F78" s="68" t="n">
        <x:v>0.3</x:v>
      </x:c>
      <x:c r="G78" s="51" t="str">
        <x:v>AI2</x:v>
      </x:c>
      <x:c r="H78" s="51" t="str">
        <x:v>LATEST_EXCEL</x:v>
      </x:c>
      <x:c r="I78" s="51" t="str">
        <x:v>NOT_IMPLEMENTED</x:v>
      </x:c>
      <x:c r="J78" s="51" t="str">
        <x:v>人格牌_次级属性!28</x:v>
      </x:c>
    </x:row>
    <x:row r="79" ht="15" hidden="0" customHeight="1">
      <x:c r="A79" s="51" t="str">
        <x:v>SUB_028</x:v>
      </x:c>
      <x:c r="B79" s="51" t="str">
        <x:v>PER_006</x:v>
      </x:c>
      <x:c r="C79" s="66" t="n">
        <x:v>15</x:v>
      </x:c>
      <x:c r="D79" s="51" t="str">
        <x:v>出牌次数</x:v>
      </x:c>
      <x:c r="E79" s="51" t="str">
        <x:v>增加</x:v>
      </x:c>
      <x:c r="F79" s="68" t="n">
        <x:v>1</x:v>
      </x:c>
      <x:c r="G79" s="51" t="str">
        <x:v>AI2</x:v>
      </x:c>
      <x:c r="H79" s="51" t="str">
        <x:v>LATEST_EXCEL</x:v>
      </x:c>
      <x:c r="I79" s="51" t="str">
        <x:v>NOT_IMPLEMENTED</x:v>
      </x:c>
      <x:c r="J79" s="51" t="str">
        <x:v>人格牌_次级属性!29</x:v>
      </x:c>
    </x:row>
    <x:row r="80" ht="15" hidden="0" customHeight="1">
      <x:c r="A80" s="51" t="str">
        <x:v>SUB_029</x:v>
      </x:c>
      <x:c r="B80" s="51" t="str">
        <x:v>PER_006</x:v>
      </x:c>
      <x:c r="C80" s="66" t="n">
        <x:v>15</x:v>
      </x:c>
      <x:c r="D80" s="51" t="str">
        <x:v>独立倍率</x:v>
      </x:c>
      <x:c r="E80" s="51" t="str">
        <x:v>增加</x:v>
      </x:c>
      <x:c r="F80" s="68" t="n">
        <x:v>0.03</x:v>
      </x:c>
      <x:c r="G80" s="51" t="str">
        <x:v>AI2</x:v>
      </x:c>
      <x:c r="H80" s="51" t="str">
        <x:v>LATEST_EXCEL</x:v>
      </x:c>
      <x:c r="I80" s="51" t="str">
        <x:v>NOT_IMPLEMENTED</x:v>
      </x:c>
      <x:c r="J80" s="51" t="str">
        <x:v>人格牌_次级属性!30</x:v>
      </x:c>
    </x:row>
    <x:row r="81" ht="15" hidden="0" customHeight="1">
      <x:c r="A81" s="51" t="str">
        <x:v>SUB_030</x:v>
      </x:c>
      <x:c r="B81" s="51" t="str">
        <x:v>PER_006</x:v>
      </x:c>
      <x:c r="C81" s="66" t="n">
        <x:v>10</x:v>
      </x:c>
      <x:c r="D81" s="51" t="str">
        <x:v>金币</x:v>
      </x:c>
      <x:c r="E81" s="51" t="str">
        <x:v>增加</x:v>
      </x:c>
      <x:c r="F81" s="68" t="n">
        <x:v>5</x:v>
      </x:c>
      <x:c r="G81" s="51" t="str">
        <x:v>AI3</x:v>
      </x:c>
      <x:c r="H81" s="51" t="str">
        <x:v>LATEST_EXCEL</x:v>
      </x:c>
      <x:c r="I81" s="51" t="str">
        <x:v>NOT_IMPLEMENTED</x:v>
      </x:c>
      <x:c r="J81" s="51" t="str">
        <x:v>人格牌_次级属性!31</x:v>
      </x:c>
    </x:row>
    <x:row r="82" ht="15" hidden="0" customHeight="1">
      <x:c r="A82" s="51" t="str">
        <x:v>SUB_031</x:v>
      </x:c>
      <x:c r="B82" s="51" t="str">
        <x:v>PER_007</x:v>
      </x:c>
      <x:c r="C82" s="66" t="n">
        <x:v>40</x:v>
      </x:c>
      <x:c r="D82" s="51" t="str">
        <x:v>基础筹码</x:v>
      </x:c>
      <x:c r="E82" s="51" t="str">
        <x:v>增加</x:v>
      </x:c>
      <x:c r="F82" s="68" t="n">
        <x:v>8</x:v>
      </x:c>
      <x:c r="G82" s="51" t="str">
        <x:v>AI1</x:v>
      </x:c>
      <x:c r="H82" s="51" t="str">
        <x:v>LATEST_EXCEL</x:v>
      </x:c>
      <x:c r="I82" s="51" t="str">
        <x:v>NOT_IMPLEMENTED</x:v>
      </x:c>
      <x:c r="J82" s="51" t="str">
        <x:v>人格牌_次级属性!32</x:v>
      </x:c>
    </x:row>
    <x:row r="83" ht="15" hidden="0" customHeight="1">
      <x:c r="A83" s="51" t="str">
        <x:v>SUB_032</x:v>
      </x:c>
      <x:c r="B83" s="51" t="str">
        <x:v>PER_007</x:v>
      </x:c>
      <x:c r="C83" s="66" t="n">
        <x:v>25</x:v>
      </x:c>
      <x:c r="D83" s="51" t="str">
        <x:v>基础倍率</x:v>
      </x:c>
      <x:c r="E83" s="51" t="str">
        <x:v>增加</x:v>
      </x:c>
      <x:c r="F83" s="68" t="n">
        <x:v>0.3</x:v>
      </x:c>
      <x:c r="G83" s="51" t="str">
        <x:v>AI1</x:v>
      </x:c>
      <x:c r="H83" s="51" t="str">
        <x:v>LATEST_EXCEL</x:v>
      </x:c>
      <x:c r="I83" s="51" t="str">
        <x:v>NOT_IMPLEMENTED</x:v>
      </x:c>
      <x:c r="J83" s="51" t="str">
        <x:v>人格牌_次级属性!33</x:v>
      </x:c>
    </x:row>
    <x:row r="84" ht="15" hidden="0" customHeight="1">
      <x:c r="A84" s="51" t="str">
        <x:v>SUB_033</x:v>
      </x:c>
      <x:c r="B84" s="51" t="str">
        <x:v>PER_007</x:v>
      </x:c>
      <x:c r="C84" s="66" t="n">
        <x:v>15</x:v>
      </x:c>
      <x:c r="D84" s="51" t="str">
        <x:v>出牌次数</x:v>
      </x:c>
      <x:c r="E84" s="51" t="str">
        <x:v>增加</x:v>
      </x:c>
      <x:c r="F84" s="68" t="n">
        <x:v>1</x:v>
      </x:c>
      <x:c r="G84" s="51" t="str">
        <x:v>AI2</x:v>
      </x:c>
      <x:c r="H84" s="51" t="str">
        <x:v>LATEST_EXCEL</x:v>
      </x:c>
      <x:c r="I84" s="51" t="str">
        <x:v>NOT_IMPLEMENTED</x:v>
      </x:c>
      <x:c r="J84" s="51" t="str">
        <x:v>人格牌_次级属性!34</x:v>
      </x:c>
    </x:row>
    <x:row r="85" ht="15" hidden="0" customHeight="1">
      <x:c r="A85" s="51" t="str">
        <x:v>SUB_034</x:v>
      </x:c>
      <x:c r="B85" s="51" t="str">
        <x:v>PER_007</x:v>
      </x:c>
      <x:c r="C85" s="66" t="n">
        <x:v>10</x:v>
      </x:c>
      <x:c r="D85" s="51" t="str">
        <x:v>独立倍率</x:v>
      </x:c>
      <x:c r="E85" s="51" t="str">
        <x:v>增加</x:v>
      </x:c>
      <x:c r="F85" s="68" t="n">
        <x:v>0.03</x:v>
      </x:c>
      <x:c r="G85" s="51" t="str">
        <x:v>AI2</x:v>
      </x:c>
      <x:c r="H85" s="51" t="str">
        <x:v>LATEST_EXCEL</x:v>
      </x:c>
      <x:c r="I85" s="51" t="str">
        <x:v>NOT_IMPLEMENTED</x:v>
      </x:c>
      <x:c r="J85" s="51" t="str">
        <x:v>人格牌_次级属性!35</x:v>
      </x:c>
    </x:row>
    <x:row r="86" ht="15" hidden="0" customHeight="1">
      <x:c r="A86" s="51" t="str">
        <x:v>SUB_035</x:v>
      </x:c>
      <x:c r="B86" s="51" t="str">
        <x:v>PER_007</x:v>
      </x:c>
      <x:c r="C86" s="66" t="n">
        <x:v>10</x:v>
      </x:c>
      <x:c r="D86" s="51" t="str">
        <x:v>金币</x:v>
      </x:c>
      <x:c r="E86" s="51" t="str">
        <x:v>增加</x:v>
      </x:c>
      <x:c r="F86" s="68" t="n">
        <x:v>5</x:v>
      </x:c>
      <x:c r="G86" s="51" t="str">
        <x:v>AI2</x:v>
      </x:c>
      <x:c r="H86" s="51" t="str">
        <x:v>LATEST_EXCEL</x:v>
      </x:c>
      <x:c r="I86" s="51" t="str">
        <x:v>NOT_IMPLEMENTED</x:v>
      </x:c>
      <x:c r="J86" s="51" t="str">
        <x:v>人格牌_次级属性!36</x:v>
      </x:c>
    </x:row>
    <x:row r="87" ht="15" hidden="0" customHeight="1">
      <x:c r="A87" s="51" t="str">
        <x:v>SUB_036</x:v>
      </x:c>
      <x:c r="B87" s="51" t="str">
        <x:v>PER_008</x:v>
      </x:c>
      <x:c r="C87" s="66" t="n">
        <x:v>35</x:v>
      </x:c>
      <x:c r="D87" s="51" t="str">
        <x:v>独立倍率</x:v>
      </x:c>
      <x:c r="E87" s="51" t="str">
        <x:v>增加</x:v>
      </x:c>
      <x:c r="F87" s="68" t="n">
        <x:v>0.03</x:v>
      </x:c>
      <x:c r="G87" s="51" t="str">
        <x:v>AI1</x:v>
      </x:c>
      <x:c r="H87" s="51" t="str">
        <x:v>LATEST_EXCEL</x:v>
      </x:c>
      <x:c r="I87" s="51" t="str">
        <x:v>NOT_IMPLEMENTED</x:v>
      </x:c>
      <x:c r="J87" s="51" t="str">
        <x:v>人格牌_次级属性!37</x:v>
      </x:c>
    </x:row>
    <x:row r="88" ht="15" hidden="0" customHeight="1">
      <x:c r="A88" s="51" t="str">
        <x:v>SUB_037</x:v>
      </x:c>
      <x:c r="B88" s="51" t="str">
        <x:v>PER_008</x:v>
      </x:c>
      <x:c r="C88" s="66" t="n">
        <x:v>25</x:v>
      </x:c>
      <x:c r="D88" s="51" t="str">
        <x:v>基础倍率</x:v>
      </x:c>
      <x:c r="E88" s="51" t="str">
        <x:v>增加</x:v>
      </x:c>
      <x:c r="F88" s="68" t="n">
        <x:v>0.5</x:v>
      </x:c>
      <x:c r="G88" s="51" t="str">
        <x:v>AI1</x:v>
      </x:c>
      <x:c r="H88" s="51" t="str">
        <x:v>LATEST_EXCEL</x:v>
      </x:c>
      <x:c r="I88" s="51" t="str">
        <x:v>NOT_IMPLEMENTED</x:v>
      </x:c>
      <x:c r="J88" s="51" t="str">
        <x:v>人格牌_次级属性!38</x:v>
      </x:c>
    </x:row>
    <x:row r="89" ht="15" hidden="0" customHeight="1">
      <x:c r="A89" s="51" t="str">
        <x:v>SUB_038</x:v>
      </x:c>
      <x:c r="B89" s="51" t="str">
        <x:v>PER_008</x:v>
      </x:c>
      <x:c r="C89" s="66" t="n">
        <x:v>20</x:v>
      </x:c>
      <x:c r="D89" s="51" t="str">
        <x:v>基础筹码</x:v>
      </x:c>
      <x:c r="E89" s="51" t="str">
        <x:v>增加</x:v>
      </x:c>
      <x:c r="F89" s="68" t="n">
        <x:v>0.2</x:v>
      </x:c>
      <x:c r="G89" s="51" t="str">
        <x:v>AI2</x:v>
      </x:c>
      <x:c r="H89" s="51" t="str">
        <x:v>REQUIRES_CONFIRMATION</x:v>
      </x:c>
      <x:c r="I89" s="51" t="str">
        <x:v>NOT_IMPLEMENTED</x:v>
      </x:c>
      <x:c r="J89" s="51" t="str">
        <x:v>人格牌_次级属性!39</x:v>
      </x:c>
    </x:row>
    <x:row r="90" ht="15" hidden="0" customHeight="1">
      <x:c r="A90" s="51" t="str">
        <x:v>SUB_039</x:v>
      </x:c>
      <x:c r="B90" s="51" t="str">
        <x:v>PER_008</x:v>
      </x:c>
      <x:c r="C90" s="66" t="n">
        <x:v>10</x:v>
      </x:c>
      <x:c r="D90" s="51" t="str">
        <x:v>出牌次数</x:v>
      </x:c>
      <x:c r="E90" s="51" t="str">
        <x:v>增加</x:v>
      </x:c>
      <x:c r="F90" s="68" t="n">
        <x:v>1</x:v>
      </x:c>
      <x:c r="G90" s="51" t="str">
        <x:v>AI2</x:v>
      </x:c>
      <x:c r="H90" s="51" t="str">
        <x:v>LATEST_EXCEL</x:v>
      </x:c>
      <x:c r="I90" s="51" t="str">
        <x:v>NOT_IMPLEMENTED</x:v>
      </x:c>
      <x:c r="J90" s="51" t="str">
        <x:v>人格牌_次级属性!40</x:v>
      </x:c>
    </x:row>
    <x:row r="91" ht="15" hidden="0" customHeight="1">
      <x:c r="A91" s="51" t="str">
        <x:v>SUB_040</x:v>
      </x:c>
      <x:c r="B91" s="51" t="str">
        <x:v>PER_008</x:v>
      </x:c>
      <x:c r="C91" s="66" t="n">
        <x:v>10</x:v>
      </x:c>
      <x:c r="D91" s="51" t="str">
        <x:v>金币</x:v>
      </x:c>
      <x:c r="E91" s="51" t="str">
        <x:v>增加</x:v>
      </x:c>
      <x:c r="F91" s="68" t="n">
        <x:v>0.08</x:v>
      </x:c>
      <x:c r="G91" s="51" t="str">
        <x:v>AI2</x:v>
      </x:c>
      <x:c r="H91" s="51" t="str">
        <x:v>REQUIRES_CONFIRMATION</x:v>
      </x:c>
      <x:c r="I91" s="51" t="str">
        <x:v>NOT_IMPLEMENTED</x:v>
      </x:c>
      <x:c r="J91" s="51" t="str">
        <x:v>人格牌_次级属性!41</x:v>
      </x:c>
    </x:row>
  </x:sheetData>
  <x:mergeCells>
    <x:mergeCell ref="A1:J1"/>
    <x:mergeCell ref="A2:J2"/>
    <x:mergeCell ref="A4:J4"/>
    <x:mergeCell ref="A14:J14"/>
    <x:mergeCell ref="A26:J26"/>
    <x:mergeCell ref="A38:J38"/>
    <x:mergeCell ref="A50:J50"/>
  </x:mergeCells>
  <x:conditionalFormatting sqref="H52:H91">
    <x:cfRule type="containsText" dxfId="1" priority="1" operator="containsText" text="REQUIRES_CONFIRMATION"/>
  </x:conditionalFormatting>
  <x:dataValidations count="1">
    <x:dataValidation type="list" sqref="G52:G91">
      <x:formula1>"AI1,AI2,AI3"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34" hidden="0" customWidth="1"/>
    <x:col min="5" max="5" width="28" hidden="0" customWidth="1"/>
    <x:col min="6" max="6" width="30" hidden="0" customWidth="1"/>
  </x:cols>
  <x:sheetData>
    <x:row r="1" ht="21.600000381469727" hidden="0" customHeight="1">
      <x:c r="A1" s="32" t="str">
        <x:v>规范化校验</x:v>
      </x:c>
      <x:c r="B1" s="32"/>
      <x:c r="C1" s="32"/>
      <x:c r="D1" s="32"/>
      <x:c r="E1" s="32"/>
      <x:c r="F1" s="32"/>
    </x:row>
    <x:row r="2" ht="15" hidden="0" customHeight="1">
      <x:c r="A2" s="36" t="str">
        <x:v>ERROR 表示原始数据与最高权威规则冲突；normalized_value 可用，但 raw_value 必须保留。</x:v>
      </x:c>
      <x:c r="B2" s="36"/>
      <x:c r="C2" s="36"/>
      <x:c r="D2" s="36"/>
      <x:c r="E2" s="36"/>
      <x:c r="F2" s="36"/>
    </x:row>
    <x:row r="3"/>
    <x:row r="4" ht="15" hidden="0" customHeight="1">
      <x:c r="A4" s="44" t="str">
        <x:v>check</x:v>
      </x:c>
      <x:c r="B4" s="44" t="str">
        <x:v>observed</x:v>
      </x:c>
      <x:c r="C4" s="44" t="str">
        <x:v>target</x:v>
      </x:c>
      <x:c r="D4" s="44" t="str">
        <x:v>status</x:v>
      </x:c>
      <x:c r="E4" s="44" t="str">
        <x:v>level</x:v>
      </x:c>
      <x:c r="F4" s="44" t="str">
        <x:v>action_if_failed</x:v>
      </x:c>
    </x:row>
    <x:row r="5" ht="15" hidden="0" customHeight="1">
      <x:c r="A5" s="50" t="str">
        <x:v>总节点</x:v>
      </x:c>
      <x:c r="B5" s="50" t="n">
        <x:f>COUNTA('05_系统模型'!$A$5:$A$17)</x:f>
        <x:v>13</x:v>
      </x:c>
      <x:c r="C5" s="50" t="n">
        <x:v>13</x:v>
      </x:c>
      <x:c r="D5" s="50" t="str">
        <x:f>IF(B5=C5,"OK","FAIL")</x:f>
        <x:v>OK</x:v>
      </x:c>
      <x:c r="E5" s="50" t="str">
        <x:v>ERROR</x:v>
      </x:c>
      <x:c r="F5" s="50" t="str">
        <x:v>检查关卡流程</x:v>
      </x:c>
    </x:row>
    <x:row r="6" ht="15" hidden="0" customHeight="1">
      <x:c r="A6" s="51" t="str">
        <x:v>AI 商店</x:v>
      </x:c>
      <x:c r="B6" s="51" t="n">
        <x:f>COUNTIF('05_系统模型'!$D$5:$D$17,"SHOP")</x:f>
        <x:v>3</x:v>
      </x:c>
      <x:c r="C6" s="51" t="n">
        <x:v>3</x:v>
      </x:c>
      <x:c r="D6" s="51" t="str">
        <x:f>IF(B6=C6,"OK","FAIL")</x:f>
        <x:v>OK</x:v>
      </x:c>
      <x:c r="E6" s="51" t="str">
        <x:v>ERROR</x:v>
      </x:c>
      <x:c r="F6" s="51" t="str">
        <x:v>必须 AI1/AI2/AI3</x:v>
      </x:c>
    </x:row>
    <x:row r="7" ht="15" hidden="0" customHeight="1">
      <x:c r="A7" s="51" t="str">
        <x:v>Boss</x:v>
      </x:c>
      <x:c r="B7" s="51" t="n">
        <x:f>COUNTIF('05_系统模型'!$D$5:$D$17,"BOSS")</x:f>
        <x:v>1</x:v>
      </x:c>
      <x:c r="C7" s="51" t="n">
        <x:v>1</x:v>
      </x:c>
      <x:c r="D7" s="51" t="str">
        <x:f>IF(B7=C7,"OK","FAIL")</x:f>
        <x:v>OK</x:v>
      </x:c>
      <x:c r="E7" s="51" t="str">
        <x:v>ERROR</x:v>
      </x:c>
      <x:c r="F7" s="51" t="str">
        <x:v>STAGE_13 规范化为 BOSS</x:v>
      </x:c>
    </x:row>
    <x:row r="8" ht="15" hidden="0" customHeight="1">
      <x:c r="A8" s="51" t="str">
        <x:v>产金战斗</x:v>
      </x:c>
      <x:c r="B8" s="51" t="n">
        <x:f>COUNTIF('05_系统模型'!$G$5:$G$17,"&gt;0")</x:f>
        <x:v>9</x:v>
      </x:c>
      <x:c r="C8" s="51" t="n">
        <x:v>9</x:v>
      </x:c>
      <x:c r="D8" s="51" t="str">
        <x:f>IF(B8=C8,"OK","FAIL")</x:f>
        <x:v>OK</x:v>
      </x:c>
      <x:c r="E8" s="51" t="str">
        <x:v>ERROR</x:v>
      </x:c>
      <x:c r="F8" s="51" t="str">
        <x:v>仅 9 场普通战产金</x:v>
      </x:c>
    </x:row>
    <x:row r="9" ht="15" hidden="0" customHeight="1">
      <x:c r="A9" s="51" t="str">
        <x:v>Boss 金币</x:v>
      </x:c>
      <x:c r="B9" s="51" t="n">
        <x:f>SUMIF('05_系统模型'!$D$5:$D$17,"BOSS",'05_系统模型'!$G$5:$G$17)</x:f>
        <x:v>0</x:v>
      </x:c>
      <x:c r="C9" s="51" t="n">
        <x:v>0</x:v>
      </x:c>
      <x:c r="D9" s="51" t="str">
        <x:f>IF(B9=C9,"OK","FAIL")</x:f>
        <x:v>OK</x:v>
      </x:c>
      <x:c r="E9" s="51" t="str">
        <x:v>ERROR</x:v>
      </x:c>
      <x:c r="F9" s="51" t="str">
        <x:v>Boss 必须 0</x:v>
      </x:c>
    </x:row>
    <x:row r="10" ht="15" hidden="0" customHeight="1">
      <x:c r="A10" s="51" t="str">
        <x:v>场内人格槽</x:v>
      </x:c>
      <x:c r="B10" s="51" t="n">
        <x:f>'04_逐步推导'!F5</x:f>
        <x:v>4</x:v>
      </x:c>
      <x:c r="C10" s="51" t="n">
        <x:v>4</x:v>
      </x:c>
      <x:c r="D10" s="51" t="str">
        <x:f>IF(B10=C10,"OK","FAIL")</x:f>
        <x:v>OK</x:v>
      </x:c>
      <x:c r="E10" s="51" t="str">
        <x:v>ERROR</x:v>
      </x:c>
      <x:c r="F10" s="51" t="str">
        <x:v>保持 4</x:v>
      </x:c>
    </x:row>
    <x:row r="11" ht="15" hidden="0" customHeight="1">
      <x:c r="A11" s="51" t="str">
        <x:v>副词条槽</x:v>
      </x:c>
      <x:c r="B11" s="51" t="n">
        <x:f>'04_逐步推导'!F6</x:f>
        <x:v>3</x:v>
      </x:c>
      <x:c r="C11" s="51" t="n">
        <x:v>3</x:v>
      </x:c>
      <x:c r="D11" s="51" t="str">
        <x:f>IF(B11=C11,"OK","FAIL")</x:f>
        <x:v>OK</x:v>
      </x:c>
      <x:c r="E11" s="51" t="str">
        <x:v>ERROR</x:v>
      </x:c>
      <x:c r="F11" s="51" t="str">
        <x:v>源表 2 已覆盖</x:v>
      </x:c>
    </x:row>
    <x:row r="12" ht="15" hidden="0" customHeight="1">
      <x:c r="A12" s="51" t="str">
        <x:v>初始免费槽</x:v>
      </x:c>
      <x:c r="B12" s="51" t="n">
        <x:f>'04_逐步推导'!F7</x:f>
        <x:v>1</x:v>
      </x:c>
      <x:c r="C12" s="51" t="n">
        <x:v>1</x:v>
      </x:c>
      <x:c r="D12" s="51" t="str">
        <x:f>IF(B12=C12,"OK","FAIL")</x:f>
        <x:v>OK</x:v>
      </x:c>
      <x:c r="E12" s="51" t="str">
        <x:v>ERROR</x:v>
      </x:c>
      <x:c r="F12" s="51" t="str">
        <x:v>保持 1</x:v>
      </x:c>
    </x:row>
    <x:row r="13" ht="15" hidden="0" customHeight="1">
      <x:c r="A13" s="51" t="str">
        <x:v>第二槽成本</x:v>
      </x:c>
      <x:c r="B13" s="51" t="n">
        <x:f>'04_逐步推导'!F8</x:f>
        <x:v>5</x:v>
      </x:c>
      <x:c r="C13" s="51" t="n">
        <x:v>5</x:v>
      </x:c>
      <x:c r="D13" s="51" t="str">
        <x:f>IF(B13=C13,"OK","FAIL")</x:f>
        <x:v>OK</x:v>
      </x:c>
      <x:c r="E13" s="51" t="str">
        <x:v>ERROR</x:v>
      </x:c>
      <x:c r="F13" s="51" t="str">
        <x:v>源表 6 已覆盖</x:v>
      </x:c>
    </x:row>
    <x:row r="14" ht="15" hidden="0" customHeight="1">
      <x:c r="A14" s="51" t="str">
        <x:v>第三槽成本</x:v>
      </x:c>
      <x:c r="B14" s="51" t="n">
        <x:f>'04_逐步推导'!F9</x:f>
        <x:v>8</x:v>
      </x:c>
      <x:c r="C14" s="51" t="n">
        <x:v>8</x:v>
      </x:c>
      <x:c r="D14" s="51" t="str">
        <x:f>IF(B14=C14,"OK","FAIL")</x:f>
        <x:v>OK</x:v>
      </x:c>
      <x:c r="E14" s="51" t="str">
        <x:v>ERROR</x:v>
      </x:c>
      <x:c r="F14" s="51" t="str">
        <x:v>源表 12 已覆盖</x:v>
      </x:c>
    </x:row>
    <x:row r="15" ht="15" hidden="0" customHeight="1">
      <x:c r="A15" s="51" t="str">
        <x:v>四人格满培养</x:v>
      </x:c>
      <x:c r="B15" s="51" t="n">
        <x:f>'04_逐步推导'!F11</x:f>
        <x:v>52</x:v>
      </x:c>
      <x:c r="C15" s="51" t="n">
        <x:v>52</x:v>
      </x:c>
      <x:c r="D15" s="51" t="str">
        <x:f>IF(B15=C15,"OK","FAIL")</x:f>
        <x:v>OK</x:v>
      </x:c>
      <x:c r="E15" s="51" t="str">
        <x:v>ERROR</x:v>
      </x:c>
      <x:c r="F15" s="51" t="str">
        <x:v>4×(5+8)</x:v>
      </x:c>
    </x:row>
    <x:row r="16" ht="15" hidden="0" customHeight="1">
      <x:c r="A16" s="51" t="str">
        <x:v>基础金币总量</x:v>
      </x:c>
      <x:c r="B16" s="51" t="n">
        <x:f>'04_逐步推导'!F15</x:f>
        <x:v>54</x:v>
      </x:c>
      <x:c r="C16" s="51" t="n">
        <x:v>54</x:v>
      </x:c>
      <x:c r="D16" s="51" t="str">
        <x:f>IF(B16=C16,"OK","FAIL")</x:f>
        <x:v>OK</x:v>
      </x:c>
      <x:c r="E16" s="51" t="str">
        <x:v>ERROR</x:v>
      </x:c>
      <x:c r="F16" s="51" t="str">
        <x:v>5/5/8 × 3</x:v>
      </x:c>
    </x:row>
    <x:row r="17" ht="15" hidden="0" customHeight="1">
      <x:c r="A17" s="51" t="str">
        <x:v>权重最小值</x:v>
      </x:c>
      <x:c r="B17" s="51" t="n">
        <x:f>MIN('09_概率预览'!$C$5:$C$44)</x:f>
        <x:v>5</x:v>
      </x:c>
      <x:c r="C17" s="51" t="str">
        <x:v>&gt;0</x:v>
      </x:c>
      <x:c r="D17" s="51" t="str">
        <x:f>IF(B17&gt;0,"OK","FAIL")</x:f>
        <x:v>OK</x:v>
      </x:c>
      <x:c r="E17" s="51" t="str">
        <x:v>ERROR</x:v>
      </x:c>
      <x:c r="F17" s="51" t="str">
        <x:v>权重不得 &lt;=0</x:v>
      </x:c>
    </x:row>
    <x:row r="18" ht="15" hidden="0" customHeight="1">
      <x:c r="A18" s="51" t="str">
        <x:v>AI1 概率组</x:v>
      </x:c>
      <x:c r="B18" s="51" t="n">
        <x:f>COUNTIF('09_概率预览'!$M$5:$M$12,"OK")</x:f>
        <x:v>8</x:v>
      </x:c>
      <x:c r="C18" s="51" t="n">
        <x:v>8</x:v>
      </x:c>
      <x:c r="D18" s="51" t="str">
        <x:f>IF(B18=C18,"OK","FAIL")</x:f>
        <x:v>OK</x:v>
      </x:c>
      <x:c r="E18" s="51" t="str">
        <x:v>ERROR</x:v>
      </x:c>
      <x:c r="F18" s="51" t="str">
        <x:v>每个人格合计 100%</x:v>
      </x:c>
    </x:row>
    <x:row r="19" ht="15" hidden="0" customHeight="1">
      <x:c r="A19" s="51" t="str">
        <x:v>AI2 概率组</x:v>
      </x:c>
      <x:c r="B19" s="51" t="n">
        <x:f>COUNTIF('09_概率预览'!$N$5:$N$12,"OK")</x:f>
        <x:v>8</x:v>
      </x:c>
      <x:c r="C19" s="51" t="n">
        <x:v>8</x:v>
      </x:c>
      <x:c r="D19" s="51" t="str">
        <x:f>IF(B19=C19,"OK","FAIL")</x:f>
        <x:v>OK</x:v>
      </x:c>
      <x:c r="E19" s="51" t="str">
        <x:v>ERROR</x:v>
      </x:c>
      <x:c r="F19" s="51" t="str">
        <x:v>每个人格合计 100%</x:v>
      </x:c>
    </x:row>
    <x:row r="20" ht="15" hidden="0" customHeight="1">
      <x:c r="A20" s="51" t="str">
        <x:v>AI3 概率组</x:v>
      </x:c>
      <x:c r="B20" s="51" t="n">
        <x:f>COUNTIF('09_概率预览'!$O$5:$O$12,"OK")</x:f>
        <x:v>8</x:v>
      </x:c>
      <x:c r="C20" s="51" t="n">
        <x:v>8</x:v>
      </x:c>
      <x:c r="D20" s="51" t="str">
        <x:f>IF(B20=C20,"OK","FAIL")</x:f>
        <x:v>OK</x:v>
      </x:c>
      <x:c r="E20" s="51" t="str">
        <x:v>ERROR</x:v>
      </x:c>
      <x:c r="F20" s="51" t="str">
        <x:v>每个人格合计 100%</x:v>
      </x:c>
    </x:row>
    <x:row r="21"/>
    <x:row r="22"/>
    <x:row r="23" ht="15" hidden="0" customHeight="1">
      <x:c r="A23" s="63" t="str">
        <x:v>原始数据审计结果</x:v>
      </x:c>
      <x:c r="B23" s="63"/>
      <x:c r="C23" s="63"/>
      <x:c r="D23" s="63"/>
      <x:c r="E23" s="63"/>
      <x:c r="F23" s="63"/>
    </x:row>
    <x:row r="24" ht="15" hidden="0" customHeight="1">
      <x:c r="A24" s="44" t="str">
        <x:v>category</x:v>
      </x:c>
      <x:c r="B24" s="44" t="str">
        <x:v>count</x:v>
      </x:c>
      <x:c r="C24" s="44" t="str">
        <x:v>severity</x:v>
      </x:c>
      <x:c r="D24" s="44" t="str">
        <x:v>meaning</x:v>
      </x:c>
      <x:c r="E24" s="44" t="str">
        <x:v>normalized_result</x:v>
      </x:c>
      <x:c r="F24" s="44" t="str">
        <x:v>release_gate</x:v>
      </x:c>
    </x:row>
    <x:row r="25" ht="15" hidden="0" customHeight="1">
      <x:c r="A25" s="50" t="str">
        <x:v>conflicts</x:v>
      </x:c>
      <x:c r="B25" s="50" t="n">
        <x:v>21</x:v>
      </x:c>
      <x:c r="C25" s="50" t="str">
        <x:v>ERROR</x:v>
      </x:c>
      <x:c r="D25" s="50" t="str">
        <x:v>原始值与最高权威规则冲突</x:v>
      </x:c>
      <x:c r="E25" s="50" t="str">
        <x:v>已覆盖且保留 raw</x:v>
      </x:c>
      <x:c r="F25" s="50" t="str">
        <x:v>接入前复核</x:v>
      </x:c>
    </x:row>
    <x:row r="26" ht="15" hidden="0" customHeight="1">
      <x:c r="A26" s="51" t="str">
        <x:v>validation.errors</x:v>
      </x:c>
      <x:c r="B26" s="51" t="n">
        <x:v>13</x:v>
      </x:c>
      <x:c r="C26" s="51" t="str">
        <x:v>ERROR</x:v>
      </x:c>
      <x:c r="D26" s="51" t="str">
        <x:v>原始数据硬错误</x:v>
      </x:c>
      <x:c r="E26" s="51" t="str">
        <x:v>关键硬规则已规范化</x:v>
      </x:c>
      <x:c r="F26" s="51" t="str">
        <x:v>需策划/开发确认</x:v>
      </x:c>
    </x:row>
    <x:row r="27" ht="15" hidden="0" customHeight="1">
      <x:c r="A27" s="51" t="str">
        <x:v>validation.warnings</x:v>
      </x:c>
      <x:c r="B27" s="51" t="n">
        <x:v>12</x:v>
      </x:c>
      <x:c r="C27" s="51" t="str">
        <x:v>WARNING</x:v>
      </x:c>
      <x:c r="D27" s="51" t="str">
        <x:v>可疑值或未确认边界</x:v>
      </x:c>
      <x:c r="E27" s="51" t="str">
        <x:v>不自动猜值</x:v>
      </x:c>
      <x:c r="F27" s="51" t="str">
        <x:v>保留警告</x:v>
      </x:c>
    </x:row>
    <x:row r="28" ht="15" hidden="0" customHeight="1">
      <x:c r="A28" s="51" t="str">
        <x:v>parse_issues</x:v>
      </x:c>
      <x:c r="B28" s="51" t="n">
        <x:v>4</x:v>
      </x:c>
      <x:c r="C28" s="51" t="str">
        <x:v>WARNING</x:v>
      </x:c>
      <x:c r="D28" s="51" t="str">
        <x:v>字段缺口、别名或拼写风险</x:v>
      </x:c>
      <x:c r="E28" s="51" t="str">
        <x:v>解析层保留原列</x:v>
      </x:c>
      <x:c r="F28" s="51" t="str">
        <x:v>完善导入器</x:v>
      </x:c>
    </x:row>
  </x:sheetData>
  <x:mergeCells>
    <x:mergeCell ref="A1:F1"/>
    <x:mergeCell ref="A2:F2"/>
    <x:mergeCell ref="A23:F23"/>
  </x:mergeCells>
  <x:conditionalFormatting sqref="D5:D20">
    <x:cfRule type="containsText" dxfId="2" priority="1" operator="containsText" text="OK"/>
    <x:cfRule type="containsText" dxfId="3" priority="2" operator="containsText" text="FAIL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8" hidden="0" customWidth="1"/>
    <x:col min="9" max="9" width="14" hidden="0" customWidth="1"/>
    <x:col min="10" max="10" width="18" hidden="0" customWidth="1"/>
    <x:col min="11" max="11" width="2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1.600000381469727" hidden="0" customHeight="1">
      <x:c r="A1" s="32" t="str">
        <x:v>副词条权重与节点概率预览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</x:row>
    <x:row r="2" ht="15" hidden="0" customHeight="1">
      <x:c r="A2" s="36" t="str">
        <x:v>开放节点表示最早进入候选池；概率 = 当前候选 weight / 当前候选总 weight。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3"/>
    <x:row r="4" ht="15" hidden="0" customHeight="1">
      <x:c r="A4" s="44" t="str">
        <x:v>persona_id</x:v>
      </x:c>
      <x:c r="B4" s="44" t="str">
        <x:v>subtrait_id</x:v>
      </x:c>
      <x:c r="C4" s="44" t="str">
        <x:v>weight</x:v>
      </x:c>
      <x:c r="D4" s="44" t="str">
        <x:v>open_stage</x:v>
      </x:c>
      <x:c r="E4" s="44" t="str">
        <x:v>AI1_eligible</x:v>
      </x:c>
      <x:c r="F4" s="44" t="str">
        <x:v>AI1_probability</x:v>
      </x:c>
      <x:c r="G4" s="44" t="str">
        <x:v>AI2_eligible</x:v>
      </x:c>
      <x:c r="H4" s="44" t="str">
        <x:v>AI2_probability</x:v>
      </x:c>
      <x:c r="I4" s="44" t="str">
        <x:v>AI3_eligible</x:v>
      </x:c>
      <x:c r="J4" s="44" t="str">
        <x:v>AI3_probability</x:v>
      </x:c>
      <x:c r="K4" s="44" t="str">
        <x:v>source</x:v>
      </x:c>
      <x:c r="L4" s="44" t="str">
        <x:v>check_persona_id</x:v>
      </x:c>
      <x:c r="M4" s="44" t="str">
        <x:v>AI1_group_check</x:v>
      </x:c>
      <x:c r="N4" s="44" t="str">
        <x:v>AI2_group_check</x:v>
      </x:c>
      <x:c r="O4" s="44" t="str">
        <x:v>AI3_group_check</x:v>
      </x:c>
    </x:row>
    <x:row r="5" ht="15" hidden="0" customHeight="1">
      <x:c r="A5" s="50" t="str">
        <x:v>PER_001</x:v>
      </x:c>
      <x:c r="B5" s="50" t="str">
        <x:v>SUB_001</x:v>
      </x:c>
      <x:c r="C5" s="50" t="n">
        <x:v>40</x:v>
      </x:c>
      <x:c r="D5" s="50" t="str">
        <x:v>AI1</x:v>
      </x:c>
      <x:c r="E5" s="50" t="n">
        <x:f>IF(D5="AI1",1,0)</x:f>
        <x:v>1</x:v>
      </x:c>
      <x:c r="F5" s="69" t="n">
        <x:f>IF(E5=1,C5/SUMIFS($C$5:$C$44,$A$5:$A$44,A5,$D$5:$D$44,"AI1"),0)</x:f>
        <x:v>0.5</x:v>
      </x:c>
      <x:c r="G5" s="50" t="n">
        <x:f>IF(D5="AI3",0,1)</x:f>
        <x:v>1</x:v>
      </x:c>
      <x:c r="H5" s="69" t="n">
        <x:f>IF(G5=1,C5/(SUMIFS($C$5:$C$44,$A$5:$A$44,A5,$D$5:$D$44,"AI1")+SUMIFS($C$5:$C$44,$A$5:$A$44,A5,$D$5:$D$44,"AI2")),0)</x:f>
        <x:v>0.4</x:v>
      </x:c>
      <x:c r="I5" s="50" t="n">
        <x:v>1</x:v>
      </x:c>
      <x:c r="J5" s="69" t="n">
        <x:f>C5/SUMIFS($C$5:$C$44,$A$5:$A$44,A5)</x:f>
        <x:v>0.4</x:v>
      </x:c>
      <x:c r="K5" s="50" t="str">
        <x:v>人格牌_次级属性!2</x:v>
      </x:c>
      <x:c r="L5" s="50" t="str">
        <x:v>PER_001</x:v>
      </x:c>
      <x:c r="M5" s="50" t="str">
        <x:f>IF(ABS(SUMIFS($F$5:$F$44,$A$5:$A$44,L5)-1)&lt;0.000001,"OK","FAIL")</x:f>
        <x:v>OK</x:v>
      </x:c>
      <x:c r="N5" s="50" t="str">
        <x:f>IF(ABS(SUMIFS($H$5:$H$44,$A$5:$A$44,L5)-1)&lt;0.000001,"OK","FAIL")</x:f>
        <x:v>OK</x:v>
      </x:c>
      <x:c r="O5" s="50" t="str">
        <x:f>IF(ABS(SUMIFS($J$5:$J$44,$A$5:$A$44,L5)-1)&lt;0.000001,"OK","FAIL")</x:f>
        <x:v>OK</x:v>
      </x:c>
    </x:row>
    <x:row r="6" ht="15" hidden="0" customHeight="1">
      <x:c r="A6" s="51" t="str">
        <x:v>PER_001</x:v>
      </x:c>
      <x:c r="B6" s="51" t="str">
        <x:v>SUB_002</x:v>
      </x:c>
      <x:c r="C6" s="51" t="n">
        <x:v>25</x:v>
      </x:c>
      <x:c r="D6" s="51" t="str">
        <x:v>AI1</x:v>
      </x:c>
      <x:c r="E6" s="51" t="n">
        <x:f>IF(D6="AI1",1,0)</x:f>
        <x:v>1</x:v>
      </x:c>
      <x:c r="F6" s="70" t="n">
        <x:f>IF(E6=1,C6/SUMIFS($C$5:$C$44,$A$5:$A$44,A6,$D$5:$D$44,"AI1"),0)</x:f>
        <x:v>0.3125</x:v>
      </x:c>
      <x:c r="G6" s="51" t="n">
        <x:f>IF(D6="AI3",0,1)</x:f>
        <x:v>1</x:v>
      </x:c>
      <x:c r="H6" s="70" t="n">
        <x:f>IF(G6=1,C6/(SUMIFS($C$5:$C$44,$A$5:$A$44,A6,$D$5:$D$44,"AI1")+SUMIFS($C$5:$C$44,$A$5:$A$44,A6,$D$5:$D$44,"AI2")),0)</x:f>
        <x:v>0.25</x:v>
      </x:c>
      <x:c r="I6" s="51" t="n">
        <x:v>1</x:v>
      </x:c>
      <x:c r="J6" s="70" t="n">
        <x:f>C6/SUMIFS($C$5:$C$44,$A$5:$A$44,A6)</x:f>
        <x:v>0.25</x:v>
      </x:c>
      <x:c r="K6" s="51" t="str">
        <x:v>人格牌_次级属性!3</x:v>
      </x:c>
      <x:c r="L6" s="51" t="str">
        <x:v>PER_002</x:v>
      </x:c>
      <x:c r="M6" s="51" t="str">
        <x:f>IF(ABS(SUMIFS($F$5:$F$44,$A$5:$A$44,L6)-1)&lt;0.000001,"OK","FAIL")</x:f>
        <x:v>OK</x:v>
      </x:c>
      <x:c r="N6" s="51" t="str">
        <x:f>IF(ABS(SUMIFS($H$5:$H$44,$A$5:$A$44,L6)-1)&lt;0.000001,"OK","FAIL")</x:f>
        <x:v>OK</x:v>
      </x:c>
      <x:c r="O6" s="51" t="str">
        <x:f>IF(ABS(SUMIFS($J$5:$J$44,$A$5:$A$44,L6)-1)&lt;0.000001,"OK","FAIL")</x:f>
        <x:v>OK</x:v>
      </x:c>
    </x:row>
    <x:row r="7" ht="15" hidden="0" customHeight="1">
      <x:c r="A7" s="51" t="str">
        <x:v>PER_001</x:v>
      </x:c>
      <x:c r="B7" s="51" t="str">
        <x:v>SUB_003</x:v>
      </x:c>
      <x:c r="C7" s="51" t="n">
        <x:v>20</x:v>
      </x:c>
      <x:c r="D7" s="51" t="str">
        <x:v>AI2</x:v>
      </x:c>
      <x:c r="E7" s="51" t="n">
        <x:f>IF(D7="AI1",1,0)</x:f>
        <x:v>0</x:v>
      </x:c>
      <x:c r="F7" s="70" t="n">
        <x:f>IF(E7=1,C7/SUMIFS($C$5:$C$44,$A$5:$A$44,A7,$D$5:$D$44,"AI1"),0)</x:f>
        <x:v>0</x:v>
      </x:c>
      <x:c r="G7" s="51" t="n">
        <x:f>IF(D7="AI3",0,1)</x:f>
        <x:v>1</x:v>
      </x:c>
      <x:c r="H7" s="70" t="n">
        <x:f>IF(G7=1,C7/(SUMIFS($C$5:$C$44,$A$5:$A$44,A7,$D$5:$D$44,"AI1")+SUMIFS($C$5:$C$44,$A$5:$A$44,A7,$D$5:$D$44,"AI2")),0)</x:f>
        <x:v>0.2</x:v>
      </x:c>
      <x:c r="I7" s="51" t="n">
        <x:v>1</x:v>
      </x:c>
      <x:c r="J7" s="70" t="n">
        <x:f>C7/SUMIFS($C$5:$C$44,$A$5:$A$44,A7)</x:f>
        <x:v>0.2</x:v>
      </x:c>
      <x:c r="K7" s="51" t="str">
        <x:v>人格牌_次级属性!4</x:v>
      </x:c>
      <x:c r="L7" s="51" t="str">
        <x:v>PER_003</x:v>
      </x:c>
      <x:c r="M7" s="51" t="str">
        <x:f>IF(ABS(SUMIFS($F$5:$F$44,$A$5:$A$44,L7)-1)&lt;0.000001,"OK","FAIL")</x:f>
        <x:v>OK</x:v>
      </x:c>
      <x:c r="N7" s="51" t="str">
        <x:f>IF(ABS(SUMIFS($H$5:$H$44,$A$5:$A$44,L7)-1)&lt;0.000001,"OK","FAIL")</x:f>
        <x:v>OK</x:v>
      </x:c>
      <x:c r="O7" s="51" t="str">
        <x:f>IF(ABS(SUMIFS($J$5:$J$44,$A$5:$A$44,L7)-1)&lt;0.000001,"OK","FAIL")</x:f>
        <x:v>OK</x:v>
      </x:c>
    </x:row>
    <x:row r="8" ht="15" hidden="0" customHeight="1">
      <x:c r="A8" s="51" t="str">
        <x:v>PER_001</x:v>
      </x:c>
      <x:c r="B8" s="51" t="str">
        <x:v>SUB_004</x:v>
      </x:c>
      <x:c r="C8" s="51" t="n">
        <x:v>10</x:v>
      </x:c>
      <x:c r="D8" s="51" t="str">
        <x:v>AI1</x:v>
      </x:c>
      <x:c r="E8" s="51" t="n">
        <x:f>IF(D8="AI1",1,0)</x:f>
        <x:v>1</x:v>
      </x:c>
      <x:c r="F8" s="70" t="n">
        <x:f>IF(E8=1,C8/SUMIFS($C$5:$C$44,$A$5:$A$44,A8,$D$5:$D$44,"AI1"),0)</x:f>
        <x:v>0.125</x:v>
      </x:c>
      <x:c r="G8" s="51" t="n">
        <x:f>IF(D8="AI3",0,1)</x:f>
        <x:v>1</x:v>
      </x:c>
      <x:c r="H8" s="70" t="n">
        <x:f>IF(G8=1,C8/(SUMIFS($C$5:$C$44,$A$5:$A$44,A8,$D$5:$D$44,"AI1")+SUMIFS($C$5:$C$44,$A$5:$A$44,A8,$D$5:$D$44,"AI2")),0)</x:f>
        <x:v>0.1</x:v>
      </x:c>
      <x:c r="I8" s="51" t="n">
        <x:v>1</x:v>
      </x:c>
      <x:c r="J8" s="70" t="n">
        <x:f>C8/SUMIFS($C$5:$C$44,$A$5:$A$44,A8)</x:f>
        <x:v>0.1</x:v>
      </x:c>
      <x:c r="K8" s="51" t="str">
        <x:v>人格牌_次级属性!5</x:v>
      </x:c>
      <x:c r="L8" s="51" t="str">
        <x:v>PER_004</x:v>
      </x:c>
      <x:c r="M8" s="51" t="str">
        <x:f>IF(ABS(SUMIFS($F$5:$F$44,$A$5:$A$44,L8)-1)&lt;0.000001,"OK","FAIL")</x:f>
        <x:v>OK</x:v>
      </x:c>
      <x:c r="N8" s="51" t="str">
        <x:f>IF(ABS(SUMIFS($H$5:$H$44,$A$5:$A$44,L8)-1)&lt;0.000001,"OK","FAIL")</x:f>
        <x:v>OK</x:v>
      </x:c>
      <x:c r="O8" s="51" t="str">
        <x:f>IF(ABS(SUMIFS($J$5:$J$44,$A$5:$A$44,L8)-1)&lt;0.000001,"OK","FAIL")</x:f>
        <x:v>OK</x:v>
      </x:c>
    </x:row>
    <x:row r="9" ht="15" hidden="0" customHeight="1">
      <x:c r="A9" s="51" t="str">
        <x:v>PER_001</x:v>
      </x:c>
      <x:c r="B9" s="51" t="str">
        <x:v>SUB_005</x:v>
      </x:c>
      <x:c r="C9" s="51" t="n">
        <x:v>5</x:v>
      </x:c>
      <x:c r="D9" s="51" t="str">
        <x:v>AI1</x:v>
      </x:c>
      <x:c r="E9" s="51" t="n">
        <x:f>IF(D9="AI1",1,0)</x:f>
        <x:v>1</x:v>
      </x:c>
      <x:c r="F9" s="70" t="n">
        <x:f>IF(E9=1,C9/SUMIFS($C$5:$C$44,$A$5:$A$44,A9,$D$5:$D$44,"AI1"),0)</x:f>
        <x:v>0.0625</x:v>
      </x:c>
      <x:c r="G9" s="51" t="n">
        <x:f>IF(D9="AI3",0,1)</x:f>
        <x:v>1</x:v>
      </x:c>
      <x:c r="H9" s="70" t="n">
        <x:f>IF(G9=1,C9/(SUMIFS($C$5:$C$44,$A$5:$A$44,A9,$D$5:$D$44,"AI1")+SUMIFS($C$5:$C$44,$A$5:$A$44,A9,$D$5:$D$44,"AI2")),0)</x:f>
        <x:v>0.05</x:v>
      </x:c>
      <x:c r="I9" s="51" t="n">
        <x:v>1</x:v>
      </x:c>
      <x:c r="J9" s="70" t="n">
        <x:f>C9/SUMIFS($C$5:$C$44,$A$5:$A$44,A9)</x:f>
        <x:v>0.05</x:v>
      </x:c>
      <x:c r="K9" s="51" t="str">
        <x:v>人格牌_次级属性!6</x:v>
      </x:c>
      <x:c r="L9" s="51" t="str">
        <x:v>PER_005</x:v>
      </x:c>
      <x:c r="M9" s="51" t="str">
        <x:f>IF(ABS(SUMIFS($F$5:$F$44,$A$5:$A$44,L9)-1)&lt;0.000001,"OK","FAIL")</x:f>
        <x:v>OK</x:v>
      </x:c>
      <x:c r="N9" s="51" t="str">
        <x:f>IF(ABS(SUMIFS($H$5:$H$44,$A$5:$A$44,L9)-1)&lt;0.000001,"OK","FAIL")</x:f>
        <x:v>OK</x:v>
      </x:c>
      <x:c r="O9" s="51" t="str">
        <x:f>IF(ABS(SUMIFS($J$5:$J$44,$A$5:$A$44,L9)-1)&lt;0.000001,"OK","FAIL")</x:f>
        <x:v>OK</x:v>
      </x:c>
    </x:row>
    <x:row r="10" ht="15" hidden="0" customHeight="1">
      <x:c r="A10" s="51" t="str">
        <x:v>PER_002</x:v>
      </x:c>
      <x:c r="B10" s="51" t="str">
        <x:v>SUB_006</x:v>
      </x:c>
      <x:c r="C10" s="51" t="n">
        <x:v>35</x:v>
      </x:c>
      <x:c r="D10" s="51" t="str">
        <x:v>AI2</x:v>
      </x:c>
      <x:c r="E10" s="51" t="n">
        <x:f>IF(D10="AI1",1,0)</x:f>
        <x:v>0</x:v>
      </x:c>
      <x:c r="F10" s="70" t="n">
        <x:f>IF(E10=1,C10/SUMIFS($C$5:$C$44,$A$5:$A$44,A10,$D$5:$D$44,"AI1"),0)</x:f>
        <x:v>0</x:v>
      </x:c>
      <x:c r="G10" s="51" t="n">
        <x:f>IF(D10="AI3",0,1)</x:f>
        <x:v>1</x:v>
      </x:c>
      <x:c r="H10" s="70" t="n">
        <x:f>IF(G10=1,C10/(SUMIFS($C$5:$C$44,$A$5:$A$44,A10,$D$5:$D$44,"AI1")+SUMIFS($C$5:$C$44,$A$5:$A$44,A10,$D$5:$D$44,"AI2")),0)</x:f>
        <x:v>0.3888888888888889</x:v>
      </x:c>
      <x:c r="I10" s="51" t="n">
        <x:v>1</x:v>
      </x:c>
      <x:c r="J10" s="70" t="n">
        <x:f>C10/SUMIFS($C$5:$C$44,$A$5:$A$44,A10)</x:f>
        <x:v>0.35</x:v>
      </x:c>
      <x:c r="K10" s="51" t="str">
        <x:v>人格牌_次级属性!7</x:v>
      </x:c>
      <x:c r="L10" s="51" t="str">
        <x:v>PER_006</x:v>
      </x:c>
      <x:c r="M10" s="51" t="str">
        <x:f>IF(ABS(SUMIFS($F$5:$F$44,$A$5:$A$44,L10)-1)&lt;0.000001,"OK","FAIL")</x:f>
        <x:v>OK</x:v>
      </x:c>
      <x:c r="N10" s="51" t="str">
        <x:f>IF(ABS(SUMIFS($H$5:$H$44,$A$5:$A$44,L10)-1)&lt;0.000001,"OK","FAIL")</x:f>
        <x:v>OK</x:v>
      </x:c>
      <x:c r="O10" s="51" t="str">
        <x:f>IF(ABS(SUMIFS($J$5:$J$44,$A$5:$A$44,L10)-1)&lt;0.000001,"OK","FAIL")</x:f>
        <x:v>OK</x:v>
      </x:c>
    </x:row>
    <x:row r="11" ht="15" hidden="0" customHeight="1">
      <x:c r="A11" s="51" t="str">
        <x:v>PER_002</x:v>
      </x:c>
      <x:c r="B11" s="51" t="str">
        <x:v>SUB_007</x:v>
      </x:c>
      <x:c r="C11" s="51" t="n">
        <x:v>30</x:v>
      </x:c>
      <x:c r="D11" s="51" t="str">
        <x:v>AI1</x:v>
      </x:c>
      <x:c r="E11" s="51" t="n">
        <x:f>IF(D11="AI1",1,0)</x:f>
        <x:v>1</x:v>
      </x:c>
      <x:c r="F11" s="70" t="n">
        <x:f>IF(E11=1,C11/SUMIFS($C$5:$C$44,$A$5:$A$44,A11,$D$5:$D$44,"AI1"),0)</x:f>
        <x:v>0.8571428571428571</x:v>
      </x:c>
      <x:c r="G11" s="51" t="n">
        <x:f>IF(D11="AI3",0,1)</x:f>
        <x:v>1</x:v>
      </x:c>
      <x:c r="H11" s="70" t="n">
        <x:f>IF(G11=1,C11/(SUMIFS($C$5:$C$44,$A$5:$A$44,A11,$D$5:$D$44,"AI1")+SUMIFS($C$5:$C$44,$A$5:$A$44,A11,$D$5:$D$44,"AI2")),0)</x:f>
        <x:v>0.3333333333333333</x:v>
      </x:c>
      <x:c r="I11" s="51" t="n">
        <x:v>1</x:v>
      </x:c>
      <x:c r="J11" s="70" t="n">
        <x:f>C11/SUMIFS($C$5:$C$44,$A$5:$A$44,A11)</x:f>
        <x:v>0.3</x:v>
      </x:c>
      <x:c r="K11" s="51" t="str">
        <x:v>人格牌_次级属性!8</x:v>
      </x:c>
      <x:c r="L11" s="51" t="str">
        <x:v>PER_007</x:v>
      </x:c>
      <x:c r="M11" s="51" t="str">
        <x:f>IF(ABS(SUMIFS($F$5:$F$44,$A$5:$A$44,L11)-1)&lt;0.000001,"OK","FAIL")</x:f>
        <x:v>OK</x:v>
      </x:c>
      <x:c r="N11" s="51" t="str">
        <x:f>IF(ABS(SUMIFS($H$5:$H$44,$A$5:$A$44,L11)-1)&lt;0.000001,"OK","FAIL")</x:f>
        <x:v>OK</x:v>
      </x:c>
      <x:c r="O11" s="51" t="str">
        <x:f>IF(ABS(SUMIFS($J$5:$J$44,$A$5:$A$44,L11)-1)&lt;0.000001,"OK","FAIL")</x:f>
        <x:v>OK</x:v>
      </x:c>
    </x:row>
    <x:row r="12" ht="15" hidden="0" customHeight="1">
      <x:c r="A12" s="51" t="str">
        <x:v>PER_002</x:v>
      </x:c>
      <x:c r="B12" s="51" t="str">
        <x:v>SUB_008</x:v>
      </x:c>
      <x:c r="C12" s="51" t="n">
        <x:v>20</x:v>
      </x:c>
      <x:c r="D12" s="51" t="str">
        <x:v>AI2</x:v>
      </x:c>
      <x:c r="E12" s="51" t="n">
        <x:f>IF(D12="AI1",1,0)</x:f>
        <x:v>0</x:v>
      </x:c>
      <x:c r="F12" s="70" t="n">
        <x:f>IF(E12=1,C12/SUMIFS($C$5:$C$44,$A$5:$A$44,A12,$D$5:$D$44,"AI1"),0)</x:f>
        <x:v>0</x:v>
      </x:c>
      <x:c r="G12" s="51" t="n">
        <x:f>IF(D12="AI3",0,1)</x:f>
        <x:v>1</x:v>
      </x:c>
      <x:c r="H12" s="70" t="n">
        <x:f>IF(G12=1,C12/(SUMIFS($C$5:$C$44,$A$5:$A$44,A12,$D$5:$D$44,"AI1")+SUMIFS($C$5:$C$44,$A$5:$A$44,A12,$D$5:$D$44,"AI2")),0)</x:f>
        <x:v>0.2222222222222222</x:v>
      </x:c>
      <x:c r="I12" s="51" t="n">
        <x:v>1</x:v>
      </x:c>
      <x:c r="J12" s="70" t="n">
        <x:f>C12/SUMIFS($C$5:$C$44,$A$5:$A$44,A12)</x:f>
        <x:v>0.2</x:v>
      </x:c>
      <x:c r="K12" s="51" t="str">
        <x:v>人格牌_次级属性!9</x:v>
      </x:c>
      <x:c r="L12" s="51" t="str">
        <x:v>PER_008</x:v>
      </x:c>
      <x:c r="M12" s="51" t="str">
        <x:f>IF(ABS(SUMIFS($F$5:$F$44,$A$5:$A$44,L12)-1)&lt;0.000001,"OK","FAIL")</x:f>
        <x:v>OK</x:v>
      </x:c>
      <x:c r="N12" s="51" t="str">
        <x:f>IF(ABS(SUMIFS($H$5:$H$44,$A$5:$A$44,L12)-1)&lt;0.000001,"OK","FAIL")</x:f>
        <x:v>OK</x:v>
      </x:c>
      <x:c r="O12" s="51" t="str">
        <x:f>IF(ABS(SUMIFS($J$5:$J$44,$A$5:$A$44,L12)-1)&lt;0.000001,"OK","FAIL")</x:f>
        <x:v>OK</x:v>
      </x:c>
    </x:row>
    <x:row r="13" ht="15" hidden="0" customHeight="1">
      <x:c r="A13" s="51" t="str">
        <x:v>PER_002</x:v>
      </x:c>
      <x:c r="B13" s="51" t="str">
        <x:v>SUB_009</x:v>
      </x:c>
      <x:c r="C13" s="51" t="n">
        <x:v>10</x:v>
      </x:c>
      <x:c r="D13" s="51" t="str">
        <x:v>AI3</x:v>
      </x:c>
      <x:c r="E13" s="51" t="n">
        <x:f>IF(D13="AI1",1,0)</x:f>
        <x:v>0</x:v>
      </x:c>
      <x:c r="F13" s="70" t="n">
        <x:f>IF(E13=1,C13/SUMIFS($C$5:$C$44,$A$5:$A$44,A13,$D$5:$D$44,"AI1"),0)</x:f>
        <x:v>0</x:v>
      </x:c>
      <x:c r="G13" s="51" t="n">
        <x:f>IF(D13="AI3",0,1)</x:f>
        <x:v>0</x:v>
      </x:c>
      <x:c r="H13" s="70" t="n">
        <x:f>IF(G13=1,C13/(SUMIFS($C$5:$C$44,$A$5:$A$44,A13,$D$5:$D$44,"AI1")+SUMIFS($C$5:$C$44,$A$5:$A$44,A13,$D$5:$D$44,"AI2")),0)</x:f>
        <x:v>0</x:v>
      </x:c>
      <x:c r="I13" s="51" t="n">
        <x:v>1</x:v>
      </x:c>
      <x:c r="J13" s="70" t="n">
        <x:f>C13/SUMIFS($C$5:$C$44,$A$5:$A$44,A13)</x:f>
        <x:v>0.1</x:v>
      </x:c>
      <x:c r="K13" s="51" t="str">
        <x:v>人格牌_次级属性!10</x:v>
      </x:c>
      <x:c r="L13" s="51"/>
      <x:c r="M13" s="51"/>
      <x:c r="N13" s="51"/>
      <x:c r="O13" s="51"/>
    </x:row>
    <x:row r="14" ht="15" hidden="0" customHeight="1">
      <x:c r="A14" s="51" t="str">
        <x:v>PER_002</x:v>
      </x:c>
      <x:c r="B14" s="51" t="str">
        <x:v>SUB_010</x:v>
      </x:c>
      <x:c r="C14" s="51" t="n">
        <x:v>5</x:v>
      </x:c>
      <x:c r="D14" s="51" t="str">
        <x:v>AI1</x:v>
      </x:c>
      <x:c r="E14" s="51" t="n">
        <x:f>IF(D14="AI1",1,0)</x:f>
        <x:v>1</x:v>
      </x:c>
      <x:c r="F14" s="70" t="n">
        <x:f>IF(E14=1,C14/SUMIFS($C$5:$C$44,$A$5:$A$44,A14,$D$5:$D$44,"AI1"),0)</x:f>
        <x:v>0.14285714285714285</x:v>
      </x:c>
      <x:c r="G14" s="51" t="n">
        <x:f>IF(D14="AI3",0,1)</x:f>
        <x:v>1</x:v>
      </x:c>
      <x:c r="H14" s="70" t="n">
        <x:f>IF(G14=1,C14/(SUMIFS($C$5:$C$44,$A$5:$A$44,A14,$D$5:$D$44,"AI1")+SUMIFS($C$5:$C$44,$A$5:$A$44,A14,$D$5:$D$44,"AI2")),0)</x:f>
        <x:v>0.05555555555555555</x:v>
      </x:c>
      <x:c r="I14" s="51" t="n">
        <x:v>1</x:v>
      </x:c>
      <x:c r="J14" s="70" t="n">
        <x:f>C14/SUMIFS($C$5:$C$44,$A$5:$A$44,A14)</x:f>
        <x:v>0.05</x:v>
      </x:c>
      <x:c r="K14" s="51" t="str">
        <x:v>人格牌_次级属性!11</x:v>
      </x:c>
      <x:c r="L14" s="51"/>
      <x:c r="M14" s="51"/>
      <x:c r="N14" s="51"/>
      <x:c r="O14" s="51"/>
    </x:row>
    <x:row r="15" ht="15" hidden="0" customHeight="1">
      <x:c r="A15" s="51" t="str">
        <x:v>PER_003</x:v>
      </x:c>
      <x:c r="B15" s="51" t="str">
        <x:v>SUB_011</x:v>
      </x:c>
      <x:c r="C15" s="51" t="n">
        <x:v>40</x:v>
      </x:c>
      <x:c r="D15" s="51" t="str">
        <x:v>AI2</x:v>
      </x:c>
      <x:c r="E15" s="51" t="n">
        <x:f>IF(D15="AI1",1,0)</x:f>
        <x:v>0</x:v>
      </x:c>
      <x:c r="F15" s="70" t="n">
        <x:f>IF(E15=1,C15/SUMIFS($C$5:$C$44,$A$5:$A$44,A15,$D$5:$D$44,"AI1"),0)</x:f>
        <x:v>0</x:v>
      </x:c>
      <x:c r="G15" s="51" t="n">
        <x:f>IF(D15="AI3",0,1)</x:f>
        <x:v>1</x:v>
      </x:c>
      <x:c r="H15" s="70" t="n">
        <x:f>IF(G15=1,C15/(SUMIFS($C$5:$C$44,$A$5:$A$44,A15,$D$5:$D$44,"AI1")+SUMIFS($C$5:$C$44,$A$5:$A$44,A15,$D$5:$D$44,"AI2")),0)</x:f>
        <x:v>0.6153846153846154</x:v>
      </x:c>
      <x:c r="I15" s="51" t="n">
        <x:v>1</x:v>
      </x:c>
      <x:c r="J15" s="70" t="n">
        <x:f>C15/SUMIFS($C$5:$C$44,$A$5:$A$44,A15)</x:f>
        <x:v>0.4</x:v>
      </x:c>
      <x:c r="K15" s="51" t="str">
        <x:v>人格牌_次级属性!12</x:v>
      </x:c>
      <x:c r="L15" s="51"/>
      <x:c r="M15" s="51"/>
      <x:c r="N15" s="51"/>
      <x:c r="O15" s="51"/>
    </x:row>
    <x:row r="16" ht="15" hidden="0" customHeight="1">
      <x:c r="A16" s="51" t="str">
        <x:v>PER_003</x:v>
      </x:c>
      <x:c r="B16" s="51" t="str">
        <x:v>SUB_012</x:v>
      </x:c>
      <x:c r="C16" s="51" t="n">
        <x:v>25</x:v>
      </x:c>
      <x:c r="D16" s="51" t="str">
        <x:v>AI3</x:v>
      </x:c>
      <x:c r="E16" s="51" t="n">
        <x:f>IF(D16="AI1",1,0)</x:f>
        <x:v>0</x:v>
      </x:c>
      <x:c r="F16" s="70" t="n">
        <x:f>IF(E16=1,C16/SUMIFS($C$5:$C$44,$A$5:$A$44,A16,$D$5:$D$44,"AI1"),0)</x:f>
        <x:v>0</x:v>
      </x:c>
      <x:c r="G16" s="51" t="n">
        <x:f>IF(D16="AI3",0,1)</x:f>
        <x:v>0</x:v>
      </x:c>
      <x:c r="H16" s="70" t="n">
        <x:f>IF(G16=1,C16/(SUMIFS($C$5:$C$44,$A$5:$A$44,A16,$D$5:$D$44,"AI1")+SUMIFS($C$5:$C$44,$A$5:$A$44,A16,$D$5:$D$44,"AI2")),0)</x:f>
        <x:v>0</x:v>
      </x:c>
      <x:c r="I16" s="51" t="n">
        <x:v>1</x:v>
      </x:c>
      <x:c r="J16" s="70" t="n">
        <x:f>C16/SUMIFS($C$5:$C$44,$A$5:$A$44,A16)</x:f>
        <x:v>0.25</x:v>
      </x:c>
      <x:c r="K16" s="51" t="str">
        <x:v>人格牌_次级属性!13</x:v>
      </x:c>
      <x:c r="L16" s="51"/>
      <x:c r="M16" s="51"/>
      <x:c r="N16" s="51"/>
      <x:c r="O16" s="51"/>
    </x:row>
    <x:row r="17" ht="15" hidden="0" customHeight="1">
      <x:c r="A17" s="51" t="str">
        <x:v>PER_003</x:v>
      </x:c>
      <x:c r="B17" s="51" t="str">
        <x:v>SUB_013</x:v>
      </x:c>
      <x:c r="C17" s="51" t="n">
        <x:v>15</x:v>
      </x:c>
      <x:c r="D17" s="51" t="str">
        <x:v>AI1</x:v>
      </x:c>
      <x:c r="E17" s="51" t="n">
        <x:f>IF(D17="AI1",1,0)</x:f>
        <x:v>1</x:v>
      </x:c>
      <x:c r="F17" s="70" t="n">
        <x:f>IF(E17=1,C17/SUMIFS($C$5:$C$44,$A$5:$A$44,A17,$D$5:$D$44,"AI1"),0)</x:f>
        <x:v>1</x:v>
      </x:c>
      <x:c r="G17" s="51" t="n">
        <x:f>IF(D17="AI3",0,1)</x:f>
        <x:v>1</x:v>
      </x:c>
      <x:c r="H17" s="70" t="n">
        <x:f>IF(G17=1,C17/(SUMIFS($C$5:$C$44,$A$5:$A$44,A17,$D$5:$D$44,"AI1")+SUMIFS($C$5:$C$44,$A$5:$A$44,A17,$D$5:$D$44,"AI2")),0)</x:f>
        <x:v>0.23076923076923078</x:v>
      </x:c>
      <x:c r="I17" s="51" t="n">
        <x:v>1</x:v>
      </x:c>
      <x:c r="J17" s="70" t="n">
        <x:f>C17/SUMIFS($C$5:$C$44,$A$5:$A$44,A17)</x:f>
        <x:v>0.15</x:v>
      </x:c>
      <x:c r="K17" s="51" t="str">
        <x:v>人格牌_次级属性!14</x:v>
      </x:c>
      <x:c r="L17" s="51"/>
      <x:c r="M17" s="51"/>
      <x:c r="N17" s="51"/>
      <x:c r="O17" s="51"/>
    </x:row>
    <x:row r="18" ht="15" hidden="0" customHeight="1">
      <x:c r="A18" s="51" t="str">
        <x:v>PER_003</x:v>
      </x:c>
      <x:c r="B18" s="51" t="str">
        <x:v>SUB_014</x:v>
      </x:c>
      <x:c r="C18" s="51" t="n">
        <x:v>10</x:v>
      </x:c>
      <x:c r="D18" s="51" t="str">
        <x:v>AI2</x:v>
      </x:c>
      <x:c r="E18" s="51" t="n">
        <x:f>IF(D18="AI1",1,0)</x:f>
        <x:v>0</x:v>
      </x:c>
      <x:c r="F18" s="70" t="n">
        <x:f>IF(E18=1,C18/SUMIFS($C$5:$C$44,$A$5:$A$44,A18,$D$5:$D$44,"AI1"),0)</x:f>
        <x:v>0</x:v>
      </x:c>
      <x:c r="G18" s="51" t="n">
        <x:f>IF(D18="AI3",0,1)</x:f>
        <x:v>1</x:v>
      </x:c>
      <x:c r="H18" s="70" t="n">
        <x:f>IF(G18=1,C18/(SUMIFS($C$5:$C$44,$A$5:$A$44,A18,$D$5:$D$44,"AI1")+SUMIFS($C$5:$C$44,$A$5:$A$44,A18,$D$5:$D$44,"AI2")),0)</x:f>
        <x:v>0.15384615384615385</x:v>
      </x:c>
      <x:c r="I18" s="51" t="n">
        <x:v>1</x:v>
      </x:c>
      <x:c r="J18" s="70" t="n">
        <x:f>C18/SUMIFS($C$5:$C$44,$A$5:$A$44,A18)</x:f>
        <x:v>0.1</x:v>
      </x:c>
      <x:c r="K18" s="51" t="str">
        <x:v>人格牌_次级属性!15</x:v>
      </x:c>
      <x:c r="L18" s="51"/>
      <x:c r="M18" s="51"/>
      <x:c r="N18" s="51"/>
      <x:c r="O18" s="51"/>
    </x:row>
    <x:row r="19" ht="15" hidden="0" customHeight="1">
      <x:c r="A19" s="51" t="str">
        <x:v>PER_003</x:v>
      </x:c>
      <x:c r="B19" s="51" t="str">
        <x:v>SUB_015</x:v>
      </x:c>
      <x:c r="C19" s="51" t="n">
        <x:v>10</x:v>
      </x:c>
      <x:c r="D19" s="51" t="str">
        <x:v>AI3</x:v>
      </x:c>
      <x:c r="E19" s="51" t="n">
        <x:f>IF(D19="AI1",1,0)</x:f>
        <x:v>0</x:v>
      </x:c>
      <x:c r="F19" s="70" t="n">
        <x:f>IF(E19=1,C19/SUMIFS($C$5:$C$44,$A$5:$A$44,A19,$D$5:$D$44,"AI1"),0)</x:f>
        <x:v>0</x:v>
      </x:c>
      <x:c r="G19" s="51" t="n">
        <x:f>IF(D19="AI3",0,1)</x:f>
        <x:v>0</x:v>
      </x:c>
      <x:c r="H19" s="70" t="n">
        <x:f>IF(G19=1,C19/(SUMIFS($C$5:$C$44,$A$5:$A$44,A19,$D$5:$D$44,"AI1")+SUMIFS($C$5:$C$44,$A$5:$A$44,A19,$D$5:$D$44,"AI2")),0)</x:f>
        <x:v>0</x:v>
      </x:c>
      <x:c r="I19" s="51" t="n">
        <x:v>1</x:v>
      </x:c>
      <x:c r="J19" s="70" t="n">
        <x:f>C19/SUMIFS($C$5:$C$44,$A$5:$A$44,A19)</x:f>
        <x:v>0.1</x:v>
      </x:c>
      <x:c r="K19" s="51" t="str">
        <x:v>人格牌_次级属性!16</x:v>
      </x:c>
      <x:c r="L19" s="51"/>
      <x:c r="M19" s="51"/>
      <x:c r="N19" s="51"/>
      <x:c r="O19" s="51"/>
    </x:row>
    <x:row r="20" ht="15" hidden="0" customHeight="1">
      <x:c r="A20" s="51" t="str">
        <x:v>PER_004</x:v>
      </x:c>
      <x:c r="B20" s="51" t="str">
        <x:v>SUB_016</x:v>
      </x:c>
      <x:c r="C20" s="51" t="n">
        <x:v>35</x:v>
      </x:c>
      <x:c r="D20" s="51" t="str">
        <x:v>AI1</x:v>
      </x:c>
      <x:c r="E20" s="51" t="n">
        <x:f>IF(D20="AI1",1,0)</x:f>
        <x:v>1</x:v>
      </x:c>
      <x:c r="F20" s="70" t="n">
        <x:f>IF(E20=1,C20/SUMIFS($C$5:$C$44,$A$5:$A$44,A20,$D$5:$D$44,"AI1"),0)</x:f>
        <x:v>0.7777777777777778</x:v>
      </x:c>
      <x:c r="G20" s="51" t="n">
        <x:f>IF(D20="AI3",0,1)</x:f>
        <x:v>1</x:v>
      </x:c>
      <x:c r="H20" s="70" t="n">
        <x:f>IF(G20=1,C20/(SUMIFS($C$5:$C$44,$A$5:$A$44,A20,$D$5:$D$44,"AI1")+SUMIFS($C$5:$C$44,$A$5:$A$44,A20,$D$5:$D$44,"AI2")),0)</x:f>
        <x:v>0.4375</x:v>
      </x:c>
      <x:c r="I20" s="51" t="n">
        <x:v>1</x:v>
      </x:c>
      <x:c r="J20" s="70" t="n">
        <x:f>C20/SUMIFS($C$5:$C$44,$A$5:$A$44,A20)</x:f>
        <x:v>0.35</x:v>
      </x:c>
      <x:c r="K20" s="51" t="str">
        <x:v>人格牌_次级属性!17</x:v>
      </x:c>
      <x:c r="L20" s="51"/>
      <x:c r="M20" s="51"/>
      <x:c r="N20" s="51"/>
      <x:c r="O20" s="51"/>
    </x:row>
    <x:row r="21" ht="15" hidden="0" customHeight="1">
      <x:c r="A21" s="51" t="str">
        <x:v>PER_004</x:v>
      </x:c>
      <x:c r="B21" s="51" t="str">
        <x:v>SUB_017</x:v>
      </x:c>
      <x:c r="C21" s="51" t="n">
        <x:v>25</x:v>
      </x:c>
      <x:c r="D21" s="51" t="str">
        <x:v>AI2</x:v>
      </x:c>
      <x:c r="E21" s="51" t="n">
        <x:f>IF(D21="AI1",1,0)</x:f>
        <x:v>0</x:v>
      </x:c>
      <x:c r="F21" s="70" t="n">
        <x:f>IF(E21=1,C21/SUMIFS($C$5:$C$44,$A$5:$A$44,A21,$D$5:$D$44,"AI1"),0)</x:f>
        <x:v>0</x:v>
      </x:c>
      <x:c r="G21" s="51" t="n">
        <x:f>IF(D21="AI3",0,1)</x:f>
        <x:v>1</x:v>
      </x:c>
      <x:c r="H21" s="70" t="n">
        <x:f>IF(G21=1,C21/(SUMIFS($C$5:$C$44,$A$5:$A$44,A21,$D$5:$D$44,"AI1")+SUMIFS($C$5:$C$44,$A$5:$A$44,A21,$D$5:$D$44,"AI2")),0)</x:f>
        <x:v>0.3125</x:v>
      </x:c>
      <x:c r="I21" s="51" t="n">
        <x:v>1</x:v>
      </x:c>
      <x:c r="J21" s="70" t="n">
        <x:f>C21/SUMIFS($C$5:$C$44,$A$5:$A$44,A21)</x:f>
        <x:v>0.25</x:v>
      </x:c>
      <x:c r="K21" s="51" t="str">
        <x:v>人格牌_次级属性!18</x:v>
      </x:c>
      <x:c r="L21" s="51"/>
      <x:c r="M21" s="51"/>
      <x:c r="N21" s="51"/>
      <x:c r="O21" s="51"/>
    </x:row>
    <x:row r="22" ht="15" hidden="0" customHeight="1">
      <x:c r="A22" s="51" t="str">
        <x:v>PER_004</x:v>
      </x:c>
      <x:c r="B22" s="51" t="str">
        <x:v>SUB_018</x:v>
      </x:c>
      <x:c r="C22" s="51" t="n">
        <x:v>20</x:v>
      </x:c>
      <x:c r="D22" s="51" t="str">
        <x:v>AI3</x:v>
      </x:c>
      <x:c r="E22" s="51" t="n">
        <x:f>IF(D22="AI1",1,0)</x:f>
        <x:v>0</x:v>
      </x:c>
      <x:c r="F22" s="70" t="n">
        <x:f>IF(E22=1,C22/SUMIFS($C$5:$C$44,$A$5:$A$44,A22,$D$5:$D$44,"AI1"),0)</x:f>
        <x:v>0</x:v>
      </x:c>
      <x:c r="G22" s="51" t="n">
        <x:f>IF(D22="AI3",0,1)</x:f>
        <x:v>0</x:v>
      </x:c>
      <x:c r="H22" s="70" t="n">
        <x:f>IF(G22=1,C22/(SUMIFS($C$5:$C$44,$A$5:$A$44,A22,$D$5:$D$44,"AI1")+SUMIFS($C$5:$C$44,$A$5:$A$44,A22,$D$5:$D$44,"AI2")),0)</x:f>
        <x:v>0</x:v>
      </x:c>
      <x:c r="I22" s="51" t="n">
        <x:v>1</x:v>
      </x:c>
      <x:c r="J22" s="70" t="n">
        <x:f>C22/SUMIFS($C$5:$C$44,$A$5:$A$44,A22)</x:f>
        <x:v>0.2</x:v>
      </x:c>
      <x:c r="K22" s="51" t="str">
        <x:v>人格牌_次级属性!19</x:v>
      </x:c>
      <x:c r="L22" s="51"/>
      <x:c r="M22" s="51"/>
      <x:c r="N22" s="51"/>
      <x:c r="O22" s="51"/>
    </x:row>
    <x:row r="23" ht="15" hidden="0" customHeight="1">
      <x:c r="A23" s="51" t="str">
        <x:v>PER_004</x:v>
      </x:c>
      <x:c r="B23" s="51" t="str">
        <x:v>SUB_019</x:v>
      </x:c>
      <x:c r="C23" s="51" t="n">
        <x:v>10</x:v>
      </x:c>
      <x:c r="D23" s="51" t="str">
        <x:v>AI1</x:v>
      </x:c>
      <x:c r="E23" s="51" t="n">
        <x:f>IF(D23="AI1",1,0)</x:f>
        <x:v>1</x:v>
      </x:c>
      <x:c r="F23" s="70" t="n">
        <x:f>IF(E23=1,C23/SUMIFS($C$5:$C$44,$A$5:$A$44,A23,$D$5:$D$44,"AI1"),0)</x:f>
        <x:v>0.2222222222222222</x:v>
      </x:c>
      <x:c r="G23" s="51" t="n">
        <x:f>IF(D23="AI3",0,1)</x:f>
        <x:v>1</x:v>
      </x:c>
      <x:c r="H23" s="70" t="n">
        <x:f>IF(G23=1,C23/(SUMIFS($C$5:$C$44,$A$5:$A$44,A23,$D$5:$D$44,"AI1")+SUMIFS($C$5:$C$44,$A$5:$A$44,A23,$D$5:$D$44,"AI2")),0)</x:f>
        <x:v>0.125</x:v>
      </x:c>
      <x:c r="I23" s="51" t="n">
        <x:v>1</x:v>
      </x:c>
      <x:c r="J23" s="70" t="n">
        <x:f>C23/SUMIFS($C$5:$C$44,$A$5:$A$44,A23)</x:f>
        <x:v>0.1</x:v>
      </x:c>
      <x:c r="K23" s="51" t="str">
        <x:v>人格牌_次级属性!20</x:v>
      </x:c>
      <x:c r="L23" s="51"/>
      <x:c r="M23" s="51"/>
      <x:c r="N23" s="51"/>
      <x:c r="O23" s="51"/>
    </x:row>
    <x:row r="24" ht="15" hidden="0" customHeight="1">
      <x:c r="A24" s="51" t="str">
        <x:v>PER_004</x:v>
      </x:c>
      <x:c r="B24" s="51" t="str">
        <x:v>SUB_020</x:v>
      </x:c>
      <x:c r="C24" s="51" t="n">
        <x:v>10</x:v>
      </x:c>
      <x:c r="D24" s="51" t="str">
        <x:v>AI2</x:v>
      </x:c>
      <x:c r="E24" s="51" t="n">
        <x:f>IF(D24="AI1",1,0)</x:f>
        <x:v>0</x:v>
      </x:c>
      <x:c r="F24" s="70" t="n">
        <x:f>IF(E24=1,C24/SUMIFS($C$5:$C$44,$A$5:$A$44,A24,$D$5:$D$44,"AI1"),0)</x:f>
        <x:v>0</x:v>
      </x:c>
      <x:c r="G24" s="51" t="n">
        <x:f>IF(D24="AI3",0,1)</x:f>
        <x:v>1</x:v>
      </x:c>
      <x:c r="H24" s="70" t="n">
        <x:f>IF(G24=1,C24/(SUMIFS($C$5:$C$44,$A$5:$A$44,A24,$D$5:$D$44,"AI1")+SUMIFS($C$5:$C$44,$A$5:$A$44,A24,$D$5:$D$44,"AI2")),0)</x:f>
        <x:v>0.125</x:v>
      </x:c>
      <x:c r="I24" s="51" t="n">
        <x:v>1</x:v>
      </x:c>
      <x:c r="J24" s="70" t="n">
        <x:f>C24/SUMIFS($C$5:$C$44,$A$5:$A$44,A24)</x:f>
        <x:v>0.1</x:v>
      </x:c>
      <x:c r="K24" s="51" t="str">
        <x:v>人格牌_次级属性!21</x:v>
      </x:c>
      <x:c r="L24" s="51"/>
      <x:c r="M24" s="51"/>
      <x:c r="N24" s="51"/>
      <x:c r="O24" s="51"/>
    </x:row>
    <x:row r="25" ht="15" hidden="0" customHeight="1">
      <x:c r="A25" s="51" t="str">
        <x:v>PER_005</x:v>
      </x:c>
      <x:c r="B25" s="51" t="str">
        <x:v>SUB_021</x:v>
      </x:c>
      <x:c r="C25" s="51" t="n">
        <x:v>35</x:v>
      </x:c>
      <x:c r="D25" s="51" t="str">
        <x:v>AI3</x:v>
      </x:c>
      <x:c r="E25" s="51" t="n">
        <x:f>IF(D25="AI1",1,0)</x:f>
        <x:v>0</x:v>
      </x:c>
      <x:c r="F25" s="70" t="n">
        <x:f>IF(E25=1,C25/SUMIFS($C$5:$C$44,$A$5:$A$44,A25,$D$5:$D$44,"AI1"),0)</x:f>
        <x:v>0</x:v>
      </x:c>
      <x:c r="G25" s="51" t="n">
        <x:f>IF(D25="AI3",0,1)</x:f>
        <x:v>0</x:v>
      </x:c>
      <x:c r="H25" s="70" t="n">
        <x:f>IF(G25=1,C25/(SUMIFS($C$5:$C$44,$A$5:$A$44,A25,$D$5:$D$44,"AI1")+SUMIFS($C$5:$C$44,$A$5:$A$44,A25,$D$5:$D$44,"AI2")),0)</x:f>
        <x:v>0</x:v>
      </x:c>
      <x:c r="I25" s="51" t="n">
        <x:v>1</x:v>
      </x:c>
      <x:c r="J25" s="70" t="n">
        <x:f>C25/SUMIFS($C$5:$C$44,$A$5:$A$44,A25)</x:f>
        <x:v>0.35</x:v>
      </x:c>
      <x:c r="K25" s="51" t="str">
        <x:v>人格牌_次级属性!22</x:v>
      </x:c>
      <x:c r="L25" s="51"/>
      <x:c r="M25" s="51"/>
      <x:c r="N25" s="51"/>
      <x:c r="O25" s="51"/>
    </x:row>
    <x:row r="26" ht="15" hidden="0" customHeight="1">
      <x:c r="A26" s="51" t="str">
        <x:v>PER_005</x:v>
      </x:c>
      <x:c r="B26" s="51" t="str">
        <x:v>SUB_022</x:v>
      </x:c>
      <x:c r="C26" s="51" t="n">
        <x:v>25</x:v>
      </x:c>
      <x:c r="D26" s="51" t="str">
        <x:v>AI1</x:v>
      </x:c>
      <x:c r="E26" s="51" t="n">
        <x:f>IF(D26="AI1",1,0)</x:f>
        <x:v>1</x:v>
      </x:c>
      <x:c r="F26" s="70" t="n">
        <x:f>IF(E26=1,C26/SUMIFS($C$5:$C$44,$A$5:$A$44,A26,$D$5:$D$44,"AI1"),0)</x:f>
        <x:v>1</x:v>
      </x:c>
      <x:c r="G26" s="51" t="n">
        <x:f>IF(D26="AI3",0,1)</x:f>
        <x:v>1</x:v>
      </x:c>
      <x:c r="H26" s="70" t="n">
        <x:f>IF(G26=1,C26/(SUMIFS($C$5:$C$44,$A$5:$A$44,A26,$D$5:$D$44,"AI1")+SUMIFS($C$5:$C$44,$A$5:$A$44,A26,$D$5:$D$44,"AI2")),0)</x:f>
        <x:v>0.5</x:v>
      </x:c>
      <x:c r="I26" s="51" t="n">
        <x:v>1</x:v>
      </x:c>
      <x:c r="J26" s="70" t="n">
        <x:f>C26/SUMIFS($C$5:$C$44,$A$5:$A$44,A26)</x:f>
        <x:v>0.25</x:v>
      </x:c>
      <x:c r="K26" s="51" t="str">
        <x:v>人格牌_次级属性!23</x:v>
      </x:c>
      <x:c r="L26" s="51"/>
      <x:c r="M26" s="51"/>
      <x:c r="N26" s="51"/>
      <x:c r="O26" s="51"/>
    </x:row>
    <x:row r="27" ht="15" hidden="0" customHeight="1">
      <x:c r="A27" s="51" t="str">
        <x:v>PER_005</x:v>
      </x:c>
      <x:c r="B27" s="51" t="str">
        <x:v>SUB_023</x:v>
      </x:c>
      <x:c r="C27" s="51" t="n">
        <x:v>15</x:v>
      </x:c>
      <x:c r="D27" s="51" t="str">
        <x:v>AI2</x:v>
      </x:c>
      <x:c r="E27" s="51" t="n">
        <x:f>IF(D27="AI1",1,0)</x:f>
        <x:v>0</x:v>
      </x:c>
      <x:c r="F27" s="70" t="n">
        <x:f>IF(E27=1,C27/SUMIFS($C$5:$C$44,$A$5:$A$44,A27,$D$5:$D$44,"AI1"),0)</x:f>
        <x:v>0</x:v>
      </x:c>
      <x:c r="G27" s="51" t="n">
        <x:f>IF(D27="AI3",0,1)</x:f>
        <x:v>1</x:v>
      </x:c>
      <x:c r="H27" s="70" t="n">
        <x:f>IF(G27=1,C27/(SUMIFS($C$5:$C$44,$A$5:$A$44,A27,$D$5:$D$44,"AI1")+SUMIFS($C$5:$C$44,$A$5:$A$44,A27,$D$5:$D$44,"AI2")),0)</x:f>
        <x:v>0.3</x:v>
      </x:c>
      <x:c r="I27" s="51" t="n">
        <x:v>1</x:v>
      </x:c>
      <x:c r="J27" s="70" t="n">
        <x:f>C27/SUMIFS($C$5:$C$44,$A$5:$A$44,A27)</x:f>
        <x:v>0.15</x:v>
      </x:c>
      <x:c r="K27" s="51" t="str">
        <x:v>人格牌_次级属性!24</x:v>
      </x:c>
      <x:c r="L27" s="51"/>
      <x:c r="M27" s="51"/>
      <x:c r="N27" s="51"/>
      <x:c r="O27" s="51"/>
    </x:row>
    <x:row r="28" ht="15" hidden="0" customHeight="1">
      <x:c r="A28" s="51" t="str">
        <x:v>PER_005</x:v>
      </x:c>
      <x:c r="B28" s="51" t="str">
        <x:v>SUB_024</x:v>
      </x:c>
      <x:c r="C28" s="51" t="n">
        <x:v>15</x:v>
      </x:c>
      <x:c r="D28" s="51" t="str">
        <x:v>AI3</x:v>
      </x:c>
      <x:c r="E28" s="51" t="n">
        <x:f>IF(D28="AI1",1,0)</x:f>
        <x:v>0</x:v>
      </x:c>
      <x:c r="F28" s="70" t="n">
        <x:f>IF(E28=1,C28/SUMIFS($C$5:$C$44,$A$5:$A$44,A28,$D$5:$D$44,"AI1"),0)</x:f>
        <x:v>0</x:v>
      </x:c>
      <x:c r="G28" s="51" t="n">
        <x:f>IF(D28="AI3",0,1)</x:f>
        <x:v>0</x:v>
      </x:c>
      <x:c r="H28" s="70" t="n">
        <x:f>IF(G28=1,C28/(SUMIFS($C$5:$C$44,$A$5:$A$44,A28,$D$5:$D$44,"AI1")+SUMIFS($C$5:$C$44,$A$5:$A$44,A28,$D$5:$D$44,"AI2")),0)</x:f>
        <x:v>0</x:v>
      </x:c>
      <x:c r="I28" s="51" t="n">
        <x:v>1</x:v>
      </x:c>
      <x:c r="J28" s="70" t="n">
        <x:f>C28/SUMIFS($C$5:$C$44,$A$5:$A$44,A28)</x:f>
        <x:v>0.15</x:v>
      </x:c>
      <x:c r="K28" s="51" t="str">
        <x:v>人格牌_次级属性!25</x:v>
      </x:c>
      <x:c r="L28" s="51"/>
      <x:c r="M28" s="51"/>
      <x:c r="N28" s="51"/>
      <x:c r="O28" s="51"/>
    </x:row>
    <x:row r="29" ht="15" hidden="0" customHeight="1">
      <x:c r="A29" s="51" t="str">
        <x:v>PER_005</x:v>
      </x:c>
      <x:c r="B29" s="51" t="str">
        <x:v>SUB_025</x:v>
      </x:c>
      <x:c r="C29" s="51" t="n">
        <x:v>10</x:v>
      </x:c>
      <x:c r="D29" s="51" t="str">
        <x:v>AI2</x:v>
      </x:c>
      <x:c r="E29" s="51" t="n">
        <x:f>IF(D29="AI1",1,0)</x:f>
        <x:v>0</x:v>
      </x:c>
      <x:c r="F29" s="70" t="n">
        <x:f>IF(E29=1,C29/SUMIFS($C$5:$C$44,$A$5:$A$44,A29,$D$5:$D$44,"AI1"),0)</x:f>
        <x:v>0</x:v>
      </x:c>
      <x:c r="G29" s="51" t="n">
        <x:f>IF(D29="AI3",0,1)</x:f>
        <x:v>1</x:v>
      </x:c>
      <x:c r="H29" s="70" t="n">
        <x:f>IF(G29=1,C29/(SUMIFS($C$5:$C$44,$A$5:$A$44,A29,$D$5:$D$44,"AI1")+SUMIFS($C$5:$C$44,$A$5:$A$44,A29,$D$5:$D$44,"AI2")),0)</x:f>
        <x:v>0.2</x:v>
      </x:c>
      <x:c r="I29" s="51" t="n">
        <x:v>1</x:v>
      </x:c>
      <x:c r="J29" s="70" t="n">
        <x:f>C29/SUMIFS($C$5:$C$44,$A$5:$A$44,A29)</x:f>
        <x:v>0.1</x:v>
      </x:c>
      <x:c r="K29" s="51" t="str">
        <x:v>人格牌_次级属性!26</x:v>
      </x:c>
      <x:c r="L29" s="51"/>
      <x:c r="M29" s="51"/>
      <x:c r="N29" s="51"/>
      <x:c r="O29" s="51"/>
    </x:row>
    <x:row r="30" ht="15" hidden="0" customHeight="1">
      <x:c r="A30" s="51" t="str">
        <x:v>PER_006</x:v>
      </x:c>
      <x:c r="B30" s="51" t="str">
        <x:v>SUB_026</x:v>
      </x:c>
      <x:c r="C30" s="51" t="n">
        <x:v>35</x:v>
      </x:c>
      <x:c r="D30" s="51" t="str">
        <x:v>AI1</x:v>
      </x:c>
      <x:c r="E30" s="51" t="n">
        <x:f>IF(D30="AI1",1,0)</x:f>
        <x:v>1</x:v>
      </x:c>
      <x:c r="F30" s="70" t="n">
        <x:f>IF(E30=1,C30/SUMIFS($C$5:$C$44,$A$5:$A$44,A30,$D$5:$D$44,"AI1"),0)</x:f>
        <x:v>1</x:v>
      </x:c>
      <x:c r="G30" s="51" t="n">
        <x:f>IF(D30="AI3",0,1)</x:f>
        <x:v>1</x:v>
      </x:c>
      <x:c r="H30" s="70" t="n">
        <x:f>IF(G30=1,C30/(SUMIFS($C$5:$C$44,$A$5:$A$44,A30,$D$5:$D$44,"AI1")+SUMIFS($C$5:$C$44,$A$5:$A$44,A30,$D$5:$D$44,"AI2")),0)</x:f>
        <x:v>0.3888888888888889</x:v>
      </x:c>
      <x:c r="I30" s="51" t="n">
        <x:v>1</x:v>
      </x:c>
      <x:c r="J30" s="70" t="n">
        <x:f>C30/SUMIFS($C$5:$C$44,$A$5:$A$44,A30)</x:f>
        <x:v>0.35</x:v>
      </x:c>
      <x:c r="K30" s="51" t="str">
        <x:v>人格牌_次级属性!27</x:v>
      </x:c>
      <x:c r="L30" s="51"/>
      <x:c r="M30" s="51"/>
      <x:c r="N30" s="51"/>
      <x:c r="O30" s="51"/>
    </x:row>
    <x:row r="31" ht="15" hidden="0" customHeight="1">
      <x:c r="A31" s="51" t="str">
        <x:v>PER_006</x:v>
      </x:c>
      <x:c r="B31" s="51" t="str">
        <x:v>SUB_027</x:v>
      </x:c>
      <x:c r="C31" s="51" t="n">
        <x:v>25</x:v>
      </x:c>
      <x:c r="D31" s="51" t="str">
        <x:v>AI2</x:v>
      </x:c>
      <x:c r="E31" s="51" t="n">
        <x:f>IF(D31="AI1",1,0)</x:f>
        <x:v>0</x:v>
      </x:c>
      <x:c r="F31" s="70" t="n">
        <x:f>IF(E31=1,C31/SUMIFS($C$5:$C$44,$A$5:$A$44,A31,$D$5:$D$44,"AI1"),0)</x:f>
        <x:v>0</x:v>
      </x:c>
      <x:c r="G31" s="51" t="n">
        <x:f>IF(D31="AI3",0,1)</x:f>
        <x:v>1</x:v>
      </x:c>
      <x:c r="H31" s="70" t="n">
        <x:f>IF(G31=1,C31/(SUMIFS($C$5:$C$44,$A$5:$A$44,A31,$D$5:$D$44,"AI1")+SUMIFS($C$5:$C$44,$A$5:$A$44,A31,$D$5:$D$44,"AI2")),0)</x:f>
        <x:v>0.2777777777777778</x:v>
      </x:c>
      <x:c r="I31" s="51" t="n">
        <x:v>1</x:v>
      </x:c>
      <x:c r="J31" s="70" t="n">
        <x:f>C31/SUMIFS($C$5:$C$44,$A$5:$A$44,A31)</x:f>
        <x:v>0.25</x:v>
      </x:c>
      <x:c r="K31" s="51" t="str">
        <x:v>人格牌_次级属性!28</x:v>
      </x:c>
      <x:c r="L31" s="51"/>
      <x:c r="M31" s="51"/>
      <x:c r="N31" s="51"/>
      <x:c r="O31" s="51"/>
    </x:row>
    <x:row r="32" ht="15" hidden="0" customHeight="1">
      <x:c r="A32" s="51" t="str">
        <x:v>PER_006</x:v>
      </x:c>
      <x:c r="B32" s="51" t="str">
        <x:v>SUB_028</x:v>
      </x:c>
      <x:c r="C32" s="51" t="n">
        <x:v>15</x:v>
      </x:c>
      <x:c r="D32" s="51" t="str">
        <x:v>AI2</x:v>
      </x:c>
      <x:c r="E32" s="51" t="n">
        <x:f>IF(D32="AI1",1,0)</x:f>
        <x:v>0</x:v>
      </x:c>
      <x:c r="F32" s="70" t="n">
        <x:f>IF(E32=1,C32/SUMIFS($C$5:$C$44,$A$5:$A$44,A32,$D$5:$D$44,"AI1"),0)</x:f>
        <x:v>0</x:v>
      </x:c>
      <x:c r="G32" s="51" t="n">
        <x:f>IF(D32="AI3",0,1)</x:f>
        <x:v>1</x:v>
      </x:c>
      <x:c r="H32" s="70" t="n">
        <x:f>IF(G32=1,C32/(SUMIFS($C$5:$C$44,$A$5:$A$44,A32,$D$5:$D$44,"AI1")+SUMIFS($C$5:$C$44,$A$5:$A$44,A32,$D$5:$D$44,"AI2")),0)</x:f>
        <x:v>0.16666666666666666</x:v>
      </x:c>
      <x:c r="I32" s="51" t="n">
        <x:v>1</x:v>
      </x:c>
      <x:c r="J32" s="70" t="n">
        <x:f>C32/SUMIFS($C$5:$C$44,$A$5:$A$44,A32)</x:f>
        <x:v>0.15</x:v>
      </x:c>
      <x:c r="K32" s="51" t="str">
        <x:v>人格牌_次级属性!29</x:v>
      </x:c>
      <x:c r="L32" s="51"/>
      <x:c r="M32" s="51"/>
      <x:c r="N32" s="51"/>
      <x:c r="O32" s="51"/>
    </x:row>
    <x:row r="33" ht="15" hidden="0" customHeight="1">
      <x:c r="A33" s="51" t="str">
        <x:v>PER_006</x:v>
      </x:c>
      <x:c r="B33" s="51" t="str">
        <x:v>SUB_029</x:v>
      </x:c>
      <x:c r="C33" s="51" t="n">
        <x:v>15</x:v>
      </x:c>
      <x:c r="D33" s="51" t="str">
        <x:v>AI2</x:v>
      </x:c>
      <x:c r="E33" s="51" t="n">
        <x:f>IF(D33="AI1",1,0)</x:f>
        <x:v>0</x:v>
      </x:c>
      <x:c r="F33" s="70" t="n">
        <x:f>IF(E33=1,C33/SUMIFS($C$5:$C$44,$A$5:$A$44,A33,$D$5:$D$44,"AI1"),0)</x:f>
        <x:v>0</x:v>
      </x:c>
      <x:c r="G33" s="51" t="n">
        <x:f>IF(D33="AI3",0,1)</x:f>
        <x:v>1</x:v>
      </x:c>
      <x:c r="H33" s="70" t="n">
        <x:f>IF(G33=1,C33/(SUMIFS($C$5:$C$44,$A$5:$A$44,A33,$D$5:$D$44,"AI1")+SUMIFS($C$5:$C$44,$A$5:$A$44,A33,$D$5:$D$44,"AI2")),0)</x:f>
        <x:v>0.16666666666666666</x:v>
      </x:c>
      <x:c r="I33" s="51" t="n">
        <x:v>1</x:v>
      </x:c>
      <x:c r="J33" s="70" t="n">
        <x:f>C33/SUMIFS($C$5:$C$44,$A$5:$A$44,A33)</x:f>
        <x:v>0.15</x:v>
      </x:c>
      <x:c r="K33" s="51" t="str">
        <x:v>人格牌_次级属性!30</x:v>
      </x:c>
      <x:c r="L33" s="51"/>
      <x:c r="M33" s="51"/>
      <x:c r="N33" s="51"/>
      <x:c r="O33" s="51"/>
    </x:row>
    <x:row r="34" ht="15" hidden="0" customHeight="1">
      <x:c r="A34" s="51" t="str">
        <x:v>PER_006</x:v>
      </x:c>
      <x:c r="B34" s="51" t="str">
        <x:v>SUB_030</x:v>
      </x:c>
      <x:c r="C34" s="51" t="n">
        <x:v>10</x:v>
      </x:c>
      <x:c r="D34" s="51" t="str">
        <x:v>AI3</x:v>
      </x:c>
      <x:c r="E34" s="51" t="n">
        <x:f>IF(D34="AI1",1,0)</x:f>
        <x:v>0</x:v>
      </x:c>
      <x:c r="F34" s="70" t="n">
        <x:f>IF(E34=1,C34/SUMIFS($C$5:$C$44,$A$5:$A$44,A34,$D$5:$D$44,"AI1"),0)</x:f>
        <x:v>0</x:v>
      </x:c>
      <x:c r="G34" s="51" t="n">
        <x:f>IF(D34="AI3",0,1)</x:f>
        <x:v>0</x:v>
      </x:c>
      <x:c r="H34" s="70" t="n">
        <x:f>IF(G34=1,C34/(SUMIFS($C$5:$C$44,$A$5:$A$44,A34,$D$5:$D$44,"AI1")+SUMIFS($C$5:$C$44,$A$5:$A$44,A34,$D$5:$D$44,"AI2")),0)</x:f>
        <x:v>0</x:v>
      </x:c>
      <x:c r="I34" s="51" t="n">
        <x:v>1</x:v>
      </x:c>
      <x:c r="J34" s="70" t="n">
        <x:f>C34/SUMIFS($C$5:$C$44,$A$5:$A$44,A34)</x:f>
        <x:v>0.1</x:v>
      </x:c>
      <x:c r="K34" s="51" t="str">
        <x:v>人格牌_次级属性!31</x:v>
      </x:c>
      <x:c r="L34" s="51"/>
      <x:c r="M34" s="51"/>
      <x:c r="N34" s="51"/>
      <x:c r="O34" s="51"/>
    </x:row>
    <x:row r="35" ht="15" hidden="0" customHeight="1">
      <x:c r="A35" s="51" t="str">
        <x:v>PER_007</x:v>
      </x:c>
      <x:c r="B35" s="51" t="str">
        <x:v>SUB_031</x:v>
      </x:c>
      <x:c r="C35" s="51" t="n">
        <x:v>40</x:v>
      </x:c>
      <x:c r="D35" s="51" t="str">
        <x:v>AI1</x:v>
      </x:c>
      <x:c r="E35" s="51" t="n">
        <x:f>IF(D35="AI1",1,0)</x:f>
        <x:v>1</x:v>
      </x:c>
      <x:c r="F35" s="70" t="n">
        <x:f>IF(E35=1,C35/SUMIFS($C$5:$C$44,$A$5:$A$44,A35,$D$5:$D$44,"AI1"),0)</x:f>
        <x:v>0.6153846153846154</x:v>
      </x:c>
      <x:c r="G35" s="51" t="n">
        <x:f>IF(D35="AI3",0,1)</x:f>
        <x:v>1</x:v>
      </x:c>
      <x:c r="H35" s="70" t="n">
        <x:f>IF(G35=1,C35/(SUMIFS($C$5:$C$44,$A$5:$A$44,A35,$D$5:$D$44,"AI1")+SUMIFS($C$5:$C$44,$A$5:$A$44,A35,$D$5:$D$44,"AI2")),0)</x:f>
        <x:v>0.4</x:v>
      </x:c>
      <x:c r="I35" s="51" t="n">
        <x:v>1</x:v>
      </x:c>
      <x:c r="J35" s="70" t="n">
        <x:f>C35/SUMIFS($C$5:$C$44,$A$5:$A$44,A35)</x:f>
        <x:v>0.4</x:v>
      </x:c>
      <x:c r="K35" s="51" t="str">
        <x:v>人格牌_次级属性!32</x:v>
      </x:c>
      <x:c r="L35" s="51"/>
      <x:c r="M35" s="51"/>
      <x:c r="N35" s="51"/>
      <x:c r="O35" s="51"/>
    </x:row>
    <x:row r="36" ht="15" hidden="0" customHeight="1">
      <x:c r="A36" s="51" t="str">
        <x:v>PER_007</x:v>
      </x:c>
      <x:c r="B36" s="51" t="str">
        <x:v>SUB_032</x:v>
      </x:c>
      <x:c r="C36" s="51" t="n">
        <x:v>25</x:v>
      </x:c>
      <x:c r="D36" s="51" t="str">
        <x:v>AI1</x:v>
      </x:c>
      <x:c r="E36" s="51" t="n">
        <x:f>IF(D36="AI1",1,0)</x:f>
        <x:v>1</x:v>
      </x:c>
      <x:c r="F36" s="70" t="n">
        <x:f>IF(E36=1,C36/SUMIFS($C$5:$C$44,$A$5:$A$44,A36,$D$5:$D$44,"AI1"),0)</x:f>
        <x:v>0.38461538461538464</x:v>
      </x:c>
      <x:c r="G36" s="51" t="n">
        <x:f>IF(D36="AI3",0,1)</x:f>
        <x:v>1</x:v>
      </x:c>
      <x:c r="H36" s="70" t="n">
        <x:f>IF(G36=1,C36/(SUMIFS($C$5:$C$44,$A$5:$A$44,A36,$D$5:$D$44,"AI1")+SUMIFS($C$5:$C$44,$A$5:$A$44,A36,$D$5:$D$44,"AI2")),0)</x:f>
        <x:v>0.25</x:v>
      </x:c>
      <x:c r="I36" s="51" t="n">
        <x:v>1</x:v>
      </x:c>
      <x:c r="J36" s="70" t="n">
        <x:f>C36/SUMIFS($C$5:$C$44,$A$5:$A$44,A36)</x:f>
        <x:v>0.25</x:v>
      </x:c>
      <x:c r="K36" s="51" t="str">
        <x:v>人格牌_次级属性!33</x:v>
      </x:c>
      <x:c r="L36" s="51"/>
      <x:c r="M36" s="51"/>
      <x:c r="N36" s="51"/>
      <x:c r="O36" s="51"/>
    </x:row>
    <x:row r="37" ht="15" hidden="0" customHeight="1">
      <x:c r="A37" s="51" t="str">
        <x:v>PER_007</x:v>
      </x:c>
      <x:c r="B37" s="51" t="str">
        <x:v>SUB_033</x:v>
      </x:c>
      <x:c r="C37" s="51" t="n">
        <x:v>15</x:v>
      </x:c>
      <x:c r="D37" s="51" t="str">
        <x:v>AI2</x:v>
      </x:c>
      <x:c r="E37" s="51" t="n">
        <x:f>IF(D37="AI1",1,0)</x:f>
        <x:v>0</x:v>
      </x:c>
      <x:c r="F37" s="70" t="n">
        <x:f>IF(E37=1,C37/SUMIFS($C$5:$C$44,$A$5:$A$44,A37,$D$5:$D$44,"AI1"),0)</x:f>
        <x:v>0</x:v>
      </x:c>
      <x:c r="G37" s="51" t="n">
        <x:f>IF(D37="AI3",0,1)</x:f>
        <x:v>1</x:v>
      </x:c>
      <x:c r="H37" s="70" t="n">
        <x:f>IF(G37=1,C37/(SUMIFS($C$5:$C$44,$A$5:$A$44,A37,$D$5:$D$44,"AI1")+SUMIFS($C$5:$C$44,$A$5:$A$44,A37,$D$5:$D$44,"AI2")),0)</x:f>
        <x:v>0.15</x:v>
      </x:c>
      <x:c r="I37" s="51" t="n">
        <x:v>1</x:v>
      </x:c>
      <x:c r="J37" s="70" t="n">
        <x:f>C37/SUMIFS($C$5:$C$44,$A$5:$A$44,A37)</x:f>
        <x:v>0.15</x:v>
      </x:c>
      <x:c r="K37" s="51" t="str">
        <x:v>人格牌_次级属性!34</x:v>
      </x:c>
      <x:c r="L37" s="51"/>
      <x:c r="M37" s="51"/>
      <x:c r="N37" s="51"/>
      <x:c r="O37" s="51"/>
    </x:row>
    <x:row r="38" ht="15" hidden="0" customHeight="1">
      <x:c r="A38" s="51" t="str">
        <x:v>PER_007</x:v>
      </x:c>
      <x:c r="B38" s="51" t="str">
        <x:v>SUB_034</x:v>
      </x:c>
      <x:c r="C38" s="51" t="n">
        <x:v>10</x:v>
      </x:c>
      <x:c r="D38" s="51" t="str">
        <x:v>AI2</x:v>
      </x:c>
      <x:c r="E38" s="51" t="n">
        <x:f>IF(D38="AI1",1,0)</x:f>
        <x:v>0</x:v>
      </x:c>
      <x:c r="F38" s="70" t="n">
        <x:f>IF(E38=1,C38/SUMIFS($C$5:$C$44,$A$5:$A$44,A38,$D$5:$D$44,"AI1"),0)</x:f>
        <x:v>0</x:v>
      </x:c>
      <x:c r="G38" s="51" t="n">
        <x:f>IF(D38="AI3",0,1)</x:f>
        <x:v>1</x:v>
      </x:c>
      <x:c r="H38" s="70" t="n">
        <x:f>IF(G38=1,C38/(SUMIFS($C$5:$C$44,$A$5:$A$44,A38,$D$5:$D$44,"AI1")+SUMIFS($C$5:$C$44,$A$5:$A$44,A38,$D$5:$D$44,"AI2")),0)</x:f>
        <x:v>0.1</x:v>
      </x:c>
      <x:c r="I38" s="51" t="n">
        <x:v>1</x:v>
      </x:c>
      <x:c r="J38" s="70" t="n">
        <x:f>C38/SUMIFS($C$5:$C$44,$A$5:$A$44,A38)</x:f>
        <x:v>0.1</x:v>
      </x:c>
      <x:c r="K38" s="51" t="str">
        <x:v>人格牌_次级属性!35</x:v>
      </x:c>
      <x:c r="L38" s="51"/>
      <x:c r="M38" s="51"/>
      <x:c r="N38" s="51"/>
      <x:c r="O38" s="51"/>
    </x:row>
    <x:row r="39" ht="15" hidden="0" customHeight="1">
      <x:c r="A39" s="51" t="str">
        <x:v>PER_007</x:v>
      </x:c>
      <x:c r="B39" s="51" t="str">
        <x:v>SUB_035</x:v>
      </x:c>
      <x:c r="C39" s="51" t="n">
        <x:v>10</x:v>
      </x:c>
      <x:c r="D39" s="51" t="str">
        <x:v>AI2</x:v>
      </x:c>
      <x:c r="E39" s="51" t="n">
        <x:f>IF(D39="AI1",1,0)</x:f>
        <x:v>0</x:v>
      </x:c>
      <x:c r="F39" s="70" t="n">
        <x:f>IF(E39=1,C39/SUMIFS($C$5:$C$44,$A$5:$A$44,A39,$D$5:$D$44,"AI1"),0)</x:f>
        <x:v>0</x:v>
      </x:c>
      <x:c r="G39" s="51" t="n">
        <x:f>IF(D39="AI3",0,1)</x:f>
        <x:v>1</x:v>
      </x:c>
      <x:c r="H39" s="70" t="n">
        <x:f>IF(G39=1,C39/(SUMIFS($C$5:$C$44,$A$5:$A$44,A39,$D$5:$D$44,"AI1")+SUMIFS($C$5:$C$44,$A$5:$A$44,A39,$D$5:$D$44,"AI2")),0)</x:f>
        <x:v>0.1</x:v>
      </x:c>
      <x:c r="I39" s="51" t="n">
        <x:v>1</x:v>
      </x:c>
      <x:c r="J39" s="70" t="n">
        <x:f>C39/SUMIFS($C$5:$C$44,$A$5:$A$44,A39)</x:f>
        <x:v>0.1</x:v>
      </x:c>
      <x:c r="K39" s="51" t="str">
        <x:v>人格牌_次级属性!36</x:v>
      </x:c>
      <x:c r="L39" s="51"/>
      <x:c r="M39" s="51"/>
      <x:c r="N39" s="51"/>
      <x:c r="O39" s="51"/>
    </x:row>
    <x:row r="40" ht="15" hidden="0" customHeight="1">
      <x:c r="A40" s="51" t="str">
        <x:v>PER_008</x:v>
      </x:c>
      <x:c r="B40" s="51" t="str">
        <x:v>SUB_036</x:v>
      </x:c>
      <x:c r="C40" s="51" t="n">
        <x:v>35</x:v>
      </x:c>
      <x:c r="D40" s="51" t="str">
        <x:v>AI1</x:v>
      </x:c>
      <x:c r="E40" s="51" t="n">
        <x:f>IF(D40="AI1",1,0)</x:f>
        <x:v>1</x:v>
      </x:c>
      <x:c r="F40" s="70" t="n">
        <x:f>IF(E40=1,C40/SUMIFS($C$5:$C$44,$A$5:$A$44,A40,$D$5:$D$44,"AI1"),0)</x:f>
        <x:v>0.5833333333333334</x:v>
      </x:c>
      <x:c r="G40" s="51" t="n">
        <x:f>IF(D40="AI3",0,1)</x:f>
        <x:v>1</x:v>
      </x:c>
      <x:c r="H40" s="70" t="n">
        <x:f>IF(G40=1,C40/(SUMIFS($C$5:$C$44,$A$5:$A$44,A40,$D$5:$D$44,"AI1")+SUMIFS($C$5:$C$44,$A$5:$A$44,A40,$D$5:$D$44,"AI2")),0)</x:f>
        <x:v>0.35</x:v>
      </x:c>
      <x:c r="I40" s="51" t="n">
        <x:v>1</x:v>
      </x:c>
      <x:c r="J40" s="70" t="n">
        <x:f>C40/SUMIFS($C$5:$C$44,$A$5:$A$44,A40)</x:f>
        <x:v>0.35</x:v>
      </x:c>
      <x:c r="K40" s="51" t="str">
        <x:v>人格牌_次级属性!37</x:v>
      </x:c>
      <x:c r="L40" s="51"/>
      <x:c r="M40" s="51"/>
      <x:c r="N40" s="51"/>
      <x:c r="O40" s="51"/>
    </x:row>
    <x:row r="41" ht="15" hidden="0" customHeight="1">
      <x:c r="A41" s="51" t="str">
        <x:v>PER_008</x:v>
      </x:c>
      <x:c r="B41" s="51" t="str">
        <x:v>SUB_037</x:v>
      </x:c>
      <x:c r="C41" s="51" t="n">
        <x:v>25</x:v>
      </x:c>
      <x:c r="D41" s="51" t="str">
        <x:v>AI1</x:v>
      </x:c>
      <x:c r="E41" s="51" t="n">
        <x:f>IF(D41="AI1",1,0)</x:f>
        <x:v>1</x:v>
      </x:c>
      <x:c r="F41" s="70" t="n">
        <x:f>IF(E41=1,C41/SUMIFS($C$5:$C$44,$A$5:$A$44,A41,$D$5:$D$44,"AI1"),0)</x:f>
        <x:v>0.4166666666666667</x:v>
      </x:c>
      <x:c r="G41" s="51" t="n">
        <x:f>IF(D41="AI3",0,1)</x:f>
        <x:v>1</x:v>
      </x:c>
      <x:c r="H41" s="70" t="n">
        <x:f>IF(G41=1,C41/(SUMIFS($C$5:$C$44,$A$5:$A$44,A41,$D$5:$D$44,"AI1")+SUMIFS($C$5:$C$44,$A$5:$A$44,A41,$D$5:$D$44,"AI2")),0)</x:f>
        <x:v>0.25</x:v>
      </x:c>
      <x:c r="I41" s="51" t="n">
        <x:v>1</x:v>
      </x:c>
      <x:c r="J41" s="70" t="n">
        <x:f>C41/SUMIFS($C$5:$C$44,$A$5:$A$44,A41)</x:f>
        <x:v>0.25</x:v>
      </x:c>
      <x:c r="K41" s="51" t="str">
        <x:v>人格牌_次级属性!38</x:v>
      </x:c>
      <x:c r="L41" s="51"/>
      <x:c r="M41" s="51"/>
      <x:c r="N41" s="51"/>
      <x:c r="O41" s="51"/>
    </x:row>
    <x:row r="42" ht="15" hidden="0" customHeight="1">
      <x:c r="A42" s="51" t="str">
        <x:v>PER_008</x:v>
      </x:c>
      <x:c r="B42" s="51" t="str">
        <x:v>SUB_038</x:v>
      </x:c>
      <x:c r="C42" s="51" t="n">
        <x:v>20</x:v>
      </x:c>
      <x:c r="D42" s="51" t="str">
        <x:v>AI2</x:v>
      </x:c>
      <x:c r="E42" s="51" t="n">
        <x:f>IF(D42="AI1",1,0)</x:f>
        <x:v>0</x:v>
      </x:c>
      <x:c r="F42" s="70" t="n">
        <x:f>IF(E42=1,C42/SUMIFS($C$5:$C$44,$A$5:$A$44,A42,$D$5:$D$44,"AI1"),0)</x:f>
        <x:v>0</x:v>
      </x:c>
      <x:c r="G42" s="51" t="n">
        <x:f>IF(D42="AI3",0,1)</x:f>
        <x:v>1</x:v>
      </x:c>
      <x:c r="H42" s="70" t="n">
        <x:f>IF(G42=1,C42/(SUMIFS($C$5:$C$44,$A$5:$A$44,A42,$D$5:$D$44,"AI1")+SUMIFS($C$5:$C$44,$A$5:$A$44,A42,$D$5:$D$44,"AI2")),0)</x:f>
        <x:v>0.2</x:v>
      </x:c>
      <x:c r="I42" s="51" t="n">
        <x:v>1</x:v>
      </x:c>
      <x:c r="J42" s="70" t="n">
        <x:f>C42/SUMIFS($C$5:$C$44,$A$5:$A$44,A42)</x:f>
        <x:v>0.2</x:v>
      </x:c>
      <x:c r="K42" s="51" t="str">
        <x:v>人格牌_次级属性!39</x:v>
      </x:c>
      <x:c r="L42" s="51"/>
      <x:c r="M42" s="51"/>
      <x:c r="N42" s="51"/>
      <x:c r="O42" s="51"/>
    </x:row>
    <x:row r="43" ht="15" hidden="0" customHeight="1">
      <x:c r="A43" s="51" t="str">
        <x:v>PER_008</x:v>
      </x:c>
      <x:c r="B43" s="51" t="str">
        <x:v>SUB_039</x:v>
      </x:c>
      <x:c r="C43" s="51" t="n">
        <x:v>10</x:v>
      </x:c>
      <x:c r="D43" s="51" t="str">
        <x:v>AI2</x:v>
      </x:c>
      <x:c r="E43" s="51" t="n">
        <x:f>IF(D43="AI1",1,0)</x:f>
        <x:v>0</x:v>
      </x:c>
      <x:c r="F43" s="70" t="n">
        <x:f>IF(E43=1,C43/SUMIFS($C$5:$C$44,$A$5:$A$44,A43,$D$5:$D$44,"AI1"),0)</x:f>
        <x:v>0</x:v>
      </x:c>
      <x:c r="G43" s="51" t="n">
        <x:f>IF(D43="AI3",0,1)</x:f>
        <x:v>1</x:v>
      </x:c>
      <x:c r="H43" s="70" t="n">
        <x:f>IF(G43=1,C43/(SUMIFS($C$5:$C$44,$A$5:$A$44,A43,$D$5:$D$44,"AI1")+SUMIFS($C$5:$C$44,$A$5:$A$44,A43,$D$5:$D$44,"AI2")),0)</x:f>
        <x:v>0.1</x:v>
      </x:c>
      <x:c r="I43" s="51" t="n">
        <x:v>1</x:v>
      </x:c>
      <x:c r="J43" s="70" t="n">
        <x:f>C43/SUMIFS($C$5:$C$44,$A$5:$A$44,A43)</x:f>
        <x:v>0.1</x:v>
      </x:c>
      <x:c r="K43" s="51" t="str">
        <x:v>人格牌_次级属性!40</x:v>
      </x:c>
      <x:c r="L43" s="51"/>
      <x:c r="M43" s="51"/>
      <x:c r="N43" s="51"/>
      <x:c r="O43" s="51"/>
    </x:row>
    <x:row r="44" ht="15" hidden="0" customHeight="1">
      <x:c r="A44" s="51" t="str">
        <x:v>PER_008</x:v>
      </x:c>
      <x:c r="B44" s="51" t="str">
        <x:v>SUB_040</x:v>
      </x:c>
      <x:c r="C44" s="51" t="n">
        <x:v>10</x:v>
      </x:c>
      <x:c r="D44" s="51" t="str">
        <x:v>AI2</x:v>
      </x:c>
      <x:c r="E44" s="51" t="n">
        <x:f>IF(D44="AI1",1,0)</x:f>
        <x:v>0</x:v>
      </x:c>
      <x:c r="F44" s="70" t="n">
        <x:f>IF(E44=1,C44/SUMIFS($C$5:$C$44,$A$5:$A$44,A44,$D$5:$D$44,"AI1"),0)</x:f>
        <x:v>0</x:v>
      </x:c>
      <x:c r="G44" s="51" t="n">
        <x:f>IF(D44="AI3",0,1)</x:f>
        <x:v>1</x:v>
      </x:c>
      <x:c r="H44" s="70" t="n">
        <x:f>IF(G44=1,C44/(SUMIFS($C$5:$C$44,$A$5:$A$44,A44,$D$5:$D$44,"AI1")+SUMIFS($C$5:$C$44,$A$5:$A$44,A44,$D$5:$D$44,"AI2")),0)</x:f>
        <x:v>0.1</x:v>
      </x:c>
      <x:c r="I44" s="51" t="n">
        <x:v>1</x:v>
      </x:c>
      <x:c r="J44" s="70" t="n">
        <x:f>C44/SUMIFS($C$5:$C$44,$A$5:$A$44,A44)</x:f>
        <x:v>0.1</x:v>
      </x:c>
      <x:c r="K44" s="51" t="str">
        <x:v>人格牌_次级属性!41</x:v>
      </x:c>
      <x:c r="L44" s="51"/>
      <x:c r="M44" s="51"/>
      <x:c r="N44" s="51"/>
      <x:c r="O44" s="51"/>
    </x:row>
  </x:sheetData>
  <x:mergeCells>
    <x:mergeCell ref="A1:O1"/>
    <x:mergeCell ref="A2:O2"/>
  </x:mergeCells>
  <x:conditionalFormatting sqref="M5:O12">
    <x:cfRule type="containsText" dxfId="4" priority="1" operator="containsText" text="OK"/>
    <x:cfRule type="containsText" dxfId="5" priority="2" operator="containsText" text="FAIL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26" hidden="0" customWidth="1"/>
    <x:col min="4" max="4" width="18" hidden="0" customWidth="1"/>
    <x:col min="5" max="5" width="20" hidden="0" customWidth="1"/>
    <x:col min="6" max="6" width="46" hidden="0" customWidth="1"/>
    <x:col min="7" max="7" width="28" hidden="0" customWidth="1"/>
    <x:col min="8" max="8" width="14" hidden="0" customWidth="1"/>
    <x:col min="9" max="9" width="48" hidden="0" customWidth="1"/>
  </x:cols>
  <x:sheetData>
    <x:row r="1" ht="21.600000381469727" hidden="0" customHeight="1">
      <x:c r="A1" s="32" t="str">
        <x:v>冲突、解析问题与风险</x:v>
      </x:c>
      <x:c r="B1" s="32"/>
      <x:c r="C1" s="32"/>
      <x:c r="D1" s="32"/>
      <x:c r="E1" s="32"/>
      <x:c r="F1" s="32"/>
      <x:c r="G1" s="32"/>
      <x:c r="H1" s="32"/>
      <x:c r="I1" s="32"/>
    </x:row>
    <x:row r="2" ht="15" hidden="0" customHeight="1">
      <x:c r="A2" s="36" t="str">
        <x:v>不静默修复：每一项都保留 raw_value、normalized_value、理由与来源。</x:v>
      </x:c>
      <x:c r="B2" s="36"/>
      <x:c r="C2" s="36"/>
      <x:c r="D2" s="36"/>
      <x:c r="E2" s="36"/>
      <x:c r="F2" s="36"/>
      <x:c r="G2" s="36"/>
      <x:c r="H2" s="36"/>
      <x:c r="I2" s="36"/>
    </x:row>
    <x:row r="3"/>
    <x:row r="4" ht="15" hidden="0" customHeight="1">
      <x:c r="A4" s="39" t="str">
        <x:v>conflicts[]</x:v>
      </x:c>
      <x:c r="B4" s="39"/>
      <x:c r="C4" s="39"/>
      <x:c r="D4" s="39"/>
      <x:c r="E4" s="39"/>
      <x:c r="F4" s="39"/>
      <x:c r="G4" s="39"/>
      <x:c r="H4" s="39"/>
      <x:c r="I4" s="39"/>
    </x:row>
    <x:row r="5" ht="15" hidden="0" customHeight="1">
      <x:c r="A5" s="44" t="str">
        <x:v>code</x:v>
      </x:c>
      <x:c r="B5" s="44" t="str">
        <x:v>severity</x:v>
      </x:c>
      <x:c r="C5" s="44" t="str">
        <x:v>field</x:v>
      </x:c>
      <x:c r="D5" s="44" t="str">
        <x:v>raw_value</x:v>
      </x:c>
      <x:c r="E5" s="44" t="str">
        <x:v>normalized_value</x:v>
      </x:c>
      <x:c r="F5" s="44" t="str">
        <x:v>reason</x:v>
      </x:c>
      <x:c r="G5" s="44" t="str">
        <x:v>source_sheet</x:v>
      </x:c>
      <x:c r="H5" s="44" t="str">
        <x:v>source_row</x:v>
      </x:c>
      <x:c r="I5" s="44" t="str">
        <x:v>message</x:v>
      </x:c>
    </x:row>
    <x:row r="6" ht="15" hidden="0" customHeight="1">
      <x:c r="A6" s="50" t="str">
        <x:v>STAGE_13_TYPE_OVERRIDE</x:v>
      </x:c>
      <x:c r="B6" s="71" t="str">
        <x:v>ERROR</x:v>
      </x:c>
      <x:c r="C6" s="50" t="str">
        <x:v>stages[12].type</x:v>
      </x:c>
      <x:c r="D6" s="50" t="str">
        <x:v>战斗</x:v>
      </x:c>
      <x:c r="E6" s="50" t="str">
        <x:v>BOSS</x:v>
      </x:c>
      <x:c r="F6" s="50" t="str">
        <x:v>当前请求明确确认最终节点为 Boss</x:v>
      </x:c>
      <x:c r="G6" s="50" t="str">
        <x:v>关卡流程</x:v>
      </x:c>
      <x:c r="H6" s="50" t="n">
        <x:v>14</x:v>
      </x:c>
      <x:c r="I6" s="50" t="str">
        <x:v>STAGE_13 按最新规则必须为 BOSS。</x:v>
      </x:c>
    </x:row>
    <x:row r="7" ht="15" hidden="0" customHeight="1">
      <x:c r="A7" s="51" t="str">
        <x:v>BOSS_GOLD_OVERRIDE</x:v>
      </x:c>
      <x:c r="B7" s="72" t="str">
        <x:v>ERROR</x:v>
      </x:c>
      <x:c r="C7" s="51" t="str">
        <x:v>stages[12].base_coin</x:v>
      </x:c>
      <x:c r="D7" s="51" t="str">
        <x:v>无</x:v>
      </x:c>
      <x:c r="E7" s="51" t="n">
        <x:v>0</x:v>
      </x:c>
      <x:c r="F7" s="51" t="str">
        <x:v>当前请求明确确认 Boss 不产金币</x:v>
      </x:c>
      <x:c r="G7" s="51" t="str">
        <x:v>关卡流程</x:v>
      </x:c>
      <x:c r="H7" s="51" t="n">
        <x:v>14</x:v>
      </x:c>
      <x:c r="I7" s="51" t="str">
        <x:v>Boss 金币必须为整数 0。</x:v>
      </x:c>
    </x:row>
    <x:row r="8" ht="15" hidden="0" customHeight="1">
      <x:c r="A8" s="51" t="str">
        <x:v>PERSONA_SUBTRAIT_SLOT_OVERRIDE</x:v>
      </x:c>
      <x:c r="B8" s="72" t="str">
        <x:v>ERROR</x:v>
      </x:c>
      <x:c r="C8" s="51" t="str">
        <x:v>PER_001.max_subtrait_slots</x:v>
      </x:c>
      <x:c r="D8" s="51" t="n">
        <x:v>2</x:v>
      </x:c>
      <x:c r="E8" s="51" t="n">
        <x:v>3</x:v>
      </x:c>
      <x:c r="F8" s="51" t="str">
        <x:v>当前请求明确确认每张人格有 3 个副词条槽</x:v>
      </x:c>
      <x:c r="G8" s="51" t="str">
        <x:v>人格牌配置</x:v>
      </x:c>
      <x:c r="H8" s="51" t="n">
        <x:v>2</x:v>
      </x:c>
      <x:c r="I8" s="51" t="str">
        <x:v>PER_001 的最大副词条数量由 2 覆盖为 3。</x:v>
      </x:c>
    </x:row>
    <x:row r="9" ht="15" hidden="0" customHeight="1">
      <x:c r="A9" s="51" t="str">
        <x:v>PERSONA_SUBTRAIT_SLOT_OVERRIDE</x:v>
      </x:c>
      <x:c r="B9" s="72" t="str">
        <x:v>ERROR</x:v>
      </x:c>
      <x:c r="C9" s="51" t="str">
        <x:v>PER_002.max_subtrait_slots</x:v>
      </x:c>
      <x:c r="D9" s="51" t="n">
        <x:v>2</x:v>
      </x:c>
      <x:c r="E9" s="51" t="n">
        <x:v>3</x:v>
      </x:c>
      <x:c r="F9" s="51" t="str">
        <x:v>当前请求明确确认每张人格有 3 个副词条槽</x:v>
      </x:c>
      <x:c r="G9" s="51" t="str">
        <x:v>人格牌配置</x:v>
      </x:c>
      <x:c r="H9" s="51" t="n">
        <x:v>3</x:v>
      </x:c>
      <x:c r="I9" s="51" t="str">
        <x:v>PER_002 的最大副词条数量由 2 覆盖为 3。</x:v>
      </x:c>
    </x:row>
    <x:row r="10" ht="15" hidden="0" customHeight="1">
      <x:c r="A10" s="51" t="str">
        <x:v>PERSONA_SUBTRAIT_SLOT_OVERRIDE</x:v>
      </x:c>
      <x:c r="B10" s="72" t="str">
        <x:v>ERROR</x:v>
      </x:c>
      <x:c r="C10" s="51" t="str">
        <x:v>PER_003.max_subtrait_slots</x:v>
      </x:c>
      <x:c r="D10" s="51" t="n">
        <x:v>2</x:v>
      </x:c>
      <x:c r="E10" s="51" t="n">
        <x:v>3</x:v>
      </x:c>
      <x:c r="F10" s="51" t="str">
        <x:v>当前请求明确确认每张人格有 3 个副词条槽</x:v>
      </x:c>
      <x:c r="G10" s="51" t="str">
        <x:v>人格牌配置</x:v>
      </x:c>
      <x:c r="H10" s="51" t="n">
        <x:v>4</x:v>
      </x:c>
      <x:c r="I10" s="51" t="str">
        <x:v>PER_003 的最大副词条数量由 2 覆盖为 3。</x:v>
      </x:c>
    </x:row>
    <x:row r="11" ht="15" hidden="0" customHeight="1">
      <x:c r="A11" s="51" t="str">
        <x:v>PERSONA_SUBTRAIT_SLOT_OVERRIDE</x:v>
      </x:c>
      <x:c r="B11" s="72" t="str">
        <x:v>ERROR</x:v>
      </x:c>
      <x:c r="C11" s="51" t="str">
        <x:v>PER_004.max_subtrait_slots</x:v>
      </x:c>
      <x:c r="D11" s="51" t="n">
        <x:v>2</x:v>
      </x:c>
      <x:c r="E11" s="51" t="n">
        <x:v>3</x:v>
      </x:c>
      <x:c r="F11" s="51" t="str">
        <x:v>当前请求明确确认每张人格有 3 个副词条槽</x:v>
      </x:c>
      <x:c r="G11" s="51" t="str">
        <x:v>人格牌配置</x:v>
      </x:c>
      <x:c r="H11" s="51" t="n">
        <x:v>5</x:v>
      </x:c>
      <x:c r="I11" s="51" t="str">
        <x:v>PER_004 的最大副词条数量由 2 覆盖为 3。</x:v>
      </x:c>
    </x:row>
    <x:row r="12" ht="15" hidden="0" customHeight="1">
      <x:c r="A12" s="51" t="str">
        <x:v>PERSONA_SUBTRAIT_SLOT_OVERRIDE</x:v>
      </x:c>
      <x:c r="B12" s="72" t="str">
        <x:v>ERROR</x:v>
      </x:c>
      <x:c r="C12" s="51" t="str">
        <x:v>PER_005.max_subtrait_slots</x:v>
      </x:c>
      <x:c r="D12" s="51" t="n">
        <x:v>2</x:v>
      </x:c>
      <x:c r="E12" s="51" t="n">
        <x:v>3</x:v>
      </x:c>
      <x:c r="F12" s="51" t="str">
        <x:v>当前请求明确确认每张人格有 3 个副词条槽</x:v>
      </x:c>
      <x:c r="G12" s="51" t="str">
        <x:v>人格牌配置</x:v>
      </x:c>
      <x:c r="H12" s="51" t="n">
        <x:v>6</x:v>
      </x:c>
      <x:c r="I12" s="51" t="str">
        <x:v>PER_005 的最大副词条数量由 2 覆盖为 3。</x:v>
      </x:c>
    </x:row>
    <x:row r="13" ht="15" hidden="0" customHeight="1">
      <x:c r="A13" s="51" t="str">
        <x:v>PERSONA_SUBTRAIT_SLOT_OVERRIDE</x:v>
      </x:c>
      <x:c r="B13" s="72" t="str">
        <x:v>ERROR</x:v>
      </x:c>
      <x:c r="C13" s="51" t="str">
        <x:v>PER_006.max_subtrait_slots</x:v>
      </x:c>
      <x:c r="D13" s="51" t="n">
        <x:v>2</x:v>
      </x:c>
      <x:c r="E13" s="51" t="n">
        <x:v>3</x:v>
      </x:c>
      <x:c r="F13" s="51" t="str">
        <x:v>当前请求明确确认每张人格有 3 个副词条槽</x:v>
      </x:c>
      <x:c r="G13" s="51" t="str">
        <x:v>人格牌配置</x:v>
      </x:c>
      <x:c r="H13" s="51" t="n">
        <x:v>7</x:v>
      </x:c>
      <x:c r="I13" s="51" t="str">
        <x:v>PER_006 的最大副词条数量由 2 覆盖为 3。</x:v>
      </x:c>
    </x:row>
    <x:row r="14" ht="15" hidden="0" customHeight="1">
      <x:c r="A14" s="51" t="str">
        <x:v>PERSONA_SUBTRAIT_SLOT_OVERRIDE</x:v>
      </x:c>
      <x:c r="B14" s="72" t="str">
        <x:v>ERROR</x:v>
      </x:c>
      <x:c r="C14" s="51" t="str">
        <x:v>PER_007.max_subtrait_slots</x:v>
      </x:c>
      <x:c r="D14" s="51" t="n">
        <x:v>2</x:v>
      </x:c>
      <x:c r="E14" s="51" t="n">
        <x:v>3</x:v>
      </x:c>
      <x:c r="F14" s="51" t="str">
        <x:v>当前请求明确确认每张人格有 3 个副词条槽</x:v>
      </x:c>
      <x:c r="G14" s="51" t="str">
        <x:v>人格牌配置</x:v>
      </x:c>
      <x:c r="H14" s="51" t="n">
        <x:v>8</x:v>
      </x:c>
      <x:c r="I14" s="51" t="str">
        <x:v>PER_007 的最大副词条数量由 2 覆盖为 3。</x:v>
      </x:c>
    </x:row>
    <x:row r="15" ht="15" hidden="0" customHeight="1">
      <x:c r="A15" s="51" t="str">
        <x:v>PERSONA_SUBTRAIT_SLOT_OVERRIDE</x:v>
      </x:c>
      <x:c r="B15" s="72" t="str">
        <x:v>ERROR</x:v>
      </x:c>
      <x:c r="C15" s="51" t="str">
        <x:v>PER_008.max_subtrait_slots</x:v>
      </x:c>
      <x:c r="D15" s="51" t="n">
        <x:v>2</x:v>
      </x:c>
      <x:c r="E15" s="51" t="n">
        <x:v>3</x:v>
      </x:c>
      <x:c r="F15" s="51" t="str">
        <x:v>当前请求明确确认每张人格有 3 个副词条槽</x:v>
      </x:c>
      <x:c r="G15" s="51" t="str">
        <x:v>人格牌配置</x:v>
      </x:c>
      <x:c r="H15" s="51" t="n">
        <x:v>9</x:v>
      </x:c>
      <x:c r="I15" s="51" t="str">
        <x:v>PER_008 的最大副词条数量由 2 覆盖为 3。</x:v>
      </x:c>
    </x:row>
    <x:row r="16" ht="24" hidden="0" customHeight="1">
      <x:c r="A16" s="51" t="str">
        <x:v>TRIGGER_ID_PREFIX_OVERRIDE</x:v>
      </x:c>
      <x:c r="B16" s="72" t="str">
        <x:v>ERROR</x:v>
      </x:c>
      <x:c r="C16" s="51" t="str">
        <x:v>triggers[0].id</x:v>
      </x:c>
      <x:c r="D16" s="51" t="str">
        <x:v>MAIN_001</x:v>
      </x:c>
      <x:c r="E16" s="51" t="str">
        <x:v>ENTRY_001</x:v>
      </x:c>
      <x:c r="F16" s="51" t="str">
        <x:v>人格引用使用 ENTRY_ 前缀，触发词条与主属性不得共用 MAIN_ 前缀</x:v>
      </x:c>
      <x:c r="G16" s="51" t="str">
        <x:v>人格牌_词条</x:v>
      </x:c>
      <x:c r="H16" s="51" t="n">
        <x:v>2</x:v>
      </x:c>
      <x:c r="I16" s="51" t="str">
        <x:v>MAIN_001 与主属性 ID 空间冲突，规范化为 ENTRY_001。</x:v>
      </x:c>
    </x:row>
    <x:row r="17" ht="24" hidden="0" customHeight="1">
      <x:c r="A17" s="51" t="str">
        <x:v>TRIGGER_ID_PREFIX_OVERRIDE</x:v>
      </x:c>
      <x:c r="B17" s="72" t="str">
        <x:v>ERROR</x:v>
      </x:c>
      <x:c r="C17" s="51" t="str">
        <x:v>triggers[1].id</x:v>
      </x:c>
      <x:c r="D17" s="51" t="str">
        <x:v>MAIN_002</x:v>
      </x:c>
      <x:c r="E17" s="51" t="str">
        <x:v>ENTRY_002</x:v>
      </x:c>
      <x:c r="F17" s="51" t="str">
        <x:v>人格引用使用 ENTRY_ 前缀，触发词条与主属性不得共用 MAIN_ 前缀</x:v>
      </x:c>
      <x:c r="G17" s="51" t="str">
        <x:v>人格牌_词条</x:v>
      </x:c>
      <x:c r="H17" s="51" t="n">
        <x:v>3</x:v>
      </x:c>
      <x:c r="I17" s="51" t="str">
        <x:v>MAIN_002 与主属性 ID 空间冲突，规范化为 ENTRY_002。</x:v>
      </x:c>
    </x:row>
    <x:row r="18" ht="24" hidden="0" customHeight="1">
      <x:c r="A18" s="51" t="str">
        <x:v>TRIGGER_ID_PREFIX_OVERRIDE</x:v>
      </x:c>
      <x:c r="B18" s="72" t="str">
        <x:v>ERROR</x:v>
      </x:c>
      <x:c r="C18" s="51" t="str">
        <x:v>triggers[2].id</x:v>
      </x:c>
      <x:c r="D18" s="51" t="str">
        <x:v>MAIN_003</x:v>
      </x:c>
      <x:c r="E18" s="51" t="str">
        <x:v>ENTRY_003</x:v>
      </x:c>
      <x:c r="F18" s="51" t="str">
        <x:v>人格引用使用 ENTRY_ 前缀，触发词条与主属性不得共用 MAIN_ 前缀</x:v>
      </x:c>
      <x:c r="G18" s="51" t="str">
        <x:v>人格牌_词条</x:v>
      </x:c>
      <x:c r="H18" s="51" t="n">
        <x:v>4</x:v>
      </x:c>
      <x:c r="I18" s="51" t="str">
        <x:v>MAIN_003 与主属性 ID 空间冲突，规范化为 ENTRY_003。</x:v>
      </x:c>
    </x:row>
    <x:row r="19" ht="24" hidden="0" customHeight="1">
      <x:c r="A19" s="51" t="str">
        <x:v>TRIGGER_ID_PREFIX_OVERRIDE</x:v>
      </x:c>
      <x:c r="B19" s="72" t="str">
        <x:v>ERROR</x:v>
      </x:c>
      <x:c r="C19" s="51" t="str">
        <x:v>triggers[3].id</x:v>
      </x:c>
      <x:c r="D19" s="51" t="str">
        <x:v>MAIN_004</x:v>
      </x:c>
      <x:c r="E19" s="51" t="str">
        <x:v>ENTRY_004</x:v>
      </x:c>
      <x:c r="F19" s="51" t="str">
        <x:v>人格引用使用 ENTRY_ 前缀，触发词条与主属性不得共用 MAIN_ 前缀</x:v>
      </x:c>
      <x:c r="G19" s="51" t="str">
        <x:v>人格牌_词条</x:v>
      </x:c>
      <x:c r="H19" s="51" t="n">
        <x:v>5</x:v>
      </x:c>
      <x:c r="I19" s="51" t="str">
        <x:v>MAIN_004 与主属性 ID 空间冲突，规范化为 ENTRY_004。</x:v>
      </x:c>
    </x:row>
    <x:row r="20" ht="24" hidden="0" customHeight="1">
      <x:c r="A20" s="51" t="str">
        <x:v>TRIGGER_ID_PREFIX_OVERRIDE</x:v>
      </x:c>
      <x:c r="B20" s="72" t="str">
        <x:v>ERROR</x:v>
      </x:c>
      <x:c r="C20" s="51" t="str">
        <x:v>triggers[4].id</x:v>
      </x:c>
      <x:c r="D20" s="51" t="str">
        <x:v>MAIN_005</x:v>
      </x:c>
      <x:c r="E20" s="51" t="str">
        <x:v>ENTRY_005</x:v>
      </x:c>
      <x:c r="F20" s="51" t="str">
        <x:v>人格引用使用 ENTRY_ 前缀，触发词条与主属性不得共用 MAIN_ 前缀</x:v>
      </x:c>
      <x:c r="G20" s="51" t="str">
        <x:v>人格牌_词条</x:v>
      </x:c>
      <x:c r="H20" s="51" t="n">
        <x:v>6</x:v>
      </x:c>
      <x:c r="I20" s="51" t="str">
        <x:v>MAIN_005 与主属性 ID 空间冲突，规范化为 ENTRY_005。</x:v>
      </x:c>
    </x:row>
    <x:row r="21" ht="24" hidden="0" customHeight="1">
      <x:c r="A21" s="51" t="str">
        <x:v>TRIGGER_ID_PREFIX_OVERRIDE</x:v>
      </x:c>
      <x:c r="B21" s="72" t="str">
        <x:v>ERROR</x:v>
      </x:c>
      <x:c r="C21" s="51" t="str">
        <x:v>triggers[5].id</x:v>
      </x:c>
      <x:c r="D21" s="51" t="str">
        <x:v>MAIN_006</x:v>
      </x:c>
      <x:c r="E21" s="51" t="str">
        <x:v>ENTRY_006</x:v>
      </x:c>
      <x:c r="F21" s="51" t="str">
        <x:v>人格引用使用 ENTRY_ 前缀，触发词条与主属性不得共用 MAIN_ 前缀</x:v>
      </x:c>
      <x:c r="G21" s="51" t="str">
        <x:v>人格牌_词条</x:v>
      </x:c>
      <x:c r="H21" s="51" t="n">
        <x:v>7</x:v>
      </x:c>
      <x:c r="I21" s="51" t="str">
        <x:v>MAIN_006 与主属性 ID 空间冲突，规范化为 ENTRY_006。</x:v>
      </x:c>
    </x:row>
    <x:row r="22" ht="24" hidden="0" customHeight="1">
      <x:c r="A22" s="51" t="str">
        <x:v>TRIGGER_ID_PREFIX_OVERRIDE</x:v>
      </x:c>
      <x:c r="B22" s="72" t="str">
        <x:v>ERROR</x:v>
      </x:c>
      <x:c r="C22" s="51" t="str">
        <x:v>triggers[6].id</x:v>
      </x:c>
      <x:c r="D22" s="51" t="str">
        <x:v>MAIN_007</x:v>
      </x:c>
      <x:c r="E22" s="51" t="str">
        <x:v>ENTRY_007</x:v>
      </x:c>
      <x:c r="F22" s="51" t="str">
        <x:v>人格引用使用 ENTRY_ 前缀，触发词条与主属性不得共用 MAIN_ 前缀</x:v>
      </x:c>
      <x:c r="G22" s="51" t="str">
        <x:v>人格牌_词条</x:v>
      </x:c>
      <x:c r="H22" s="51" t="n">
        <x:v>8</x:v>
      </x:c>
      <x:c r="I22" s="51" t="str">
        <x:v>MAIN_007 与主属性 ID 空间冲突，规范化为 ENTRY_007。</x:v>
      </x:c>
    </x:row>
    <x:row r="23" ht="24" hidden="0" customHeight="1">
      <x:c r="A23" s="51" t="str">
        <x:v>TRIGGER_ID_PREFIX_OVERRIDE</x:v>
      </x:c>
      <x:c r="B23" s="72" t="str">
        <x:v>ERROR</x:v>
      </x:c>
      <x:c r="C23" s="51" t="str">
        <x:v>triggers[7].id</x:v>
      </x:c>
      <x:c r="D23" s="51" t="str">
        <x:v>MAIN_008</x:v>
      </x:c>
      <x:c r="E23" s="51" t="str">
        <x:v>ENTRY_008</x:v>
      </x:c>
      <x:c r="F23" s="51" t="str">
        <x:v>人格引用使用 ENTRY_ 前缀，触发词条与主属性不得共用 MAIN_ 前缀</x:v>
      </x:c>
      <x:c r="G23" s="51" t="str">
        <x:v>人格牌_词条</x:v>
      </x:c>
      <x:c r="H23" s="51" t="n">
        <x:v>9</x:v>
      </x:c>
      <x:c r="I23" s="51" t="str">
        <x:v>MAIN_008 与主属性 ID 空间冲突，规范化为 ENTRY_008。</x:v>
      </x:c>
    </x:row>
    <x:row r="24" ht="15" hidden="0" customHeight="1">
      <x:c r="A24" s="51" t="str">
        <x:v>FORGE_COST_OVERRIDE</x:v>
      </x:c>
      <x:c r="B24" s="72" t="str">
        <x:v>ERROR</x:v>
      </x:c>
      <x:c r="C24" s="51" t="str">
        <x:v>FORGE_001.cost</x:v>
      </x:c>
      <x:c r="D24" s="51" t="n">
        <x:v>6</x:v>
      </x:c>
      <x:c r="E24" s="51" t="n">
        <x:v>5</x:v>
      </x:c>
      <x:c r="F24" s="51" t="str">
        <x:v>当前请求明确确认第二/第三副词条解锁成本为 5/8</x:v>
      </x:c>
      <x:c r="G24" s="51" t="str">
        <x:v>商店_人格铸造</x:v>
      </x:c>
      <x:c r="H24" s="51" t="n">
        <x:v>2</x:v>
      </x:c>
      <x:c r="I24" s="51" t="str">
        <x:v>FORGE_001 价格由 6 覆盖为 5。</x:v>
      </x:c>
    </x:row>
    <x:row r="25" ht="15" hidden="0" customHeight="1">
      <x:c r="A25" s="51" t="str">
        <x:v>FORGE_COST_OVERRIDE</x:v>
      </x:c>
      <x:c r="B25" s="72" t="str">
        <x:v>ERROR</x:v>
      </x:c>
      <x:c r="C25" s="51" t="str">
        <x:v>FORGE_002.cost</x:v>
      </x:c>
      <x:c r="D25" s="51" t="n">
        <x:v>12</x:v>
      </x:c>
      <x:c r="E25" s="51" t="n">
        <x:v>8</x:v>
      </x:c>
      <x:c r="F25" s="51" t="str">
        <x:v>当前请求明确确认第二/第三副词条解锁成本为 5/8</x:v>
      </x:c>
      <x:c r="G25" s="51" t="str">
        <x:v>商店_人格铸造</x:v>
      </x:c>
      <x:c r="H25" s="51" t="n">
        <x:v>3</x:v>
      </x:c>
      <x:c r="I25" s="51" t="str">
        <x:v>FORGE_002 价格由 12 覆盖为 8。</x:v>
      </x:c>
    </x:row>
    <x:row r="26" ht="24" hidden="0" customHeight="1">
      <x:c r="A26" s="51" t="str">
        <x:v>WEB_STAGE_11_TARGET_MISMATCH</x:v>
      </x:c>
      <x:c r="B26" s="72" t="str">
        <x:v>WARNING</x:v>
      </x:c>
      <x:c r="C26" s="51" t="str">
        <x:v>stages[10].target_score</x:v>
      </x:c>
      <x:c r="D26" s="51" t="n">
        <x:v>1425</x:v>
      </x:c>
      <x:c r="E26" s="51" t="n">
        <x:v>1475</x:v>
      </x:c>
      <x:c r="F26" s="51" t="str">
        <x:v>最新 Excel 的优先级高于当前网页原型/实现</x:v>
      </x:c>
      <x:c r="G26" s="51" t="str"/>
      <x:c r="H26" s="51" t="str"/>
      <x:c r="I26" s="51" t="str">
        <x:v>网页端 N11 目标分为 1425，最新 Excel 为 1475；规范化结果采用 1475。</x:v>
      </x:c>
    </x:row>
    <x:row r="27"/>
    <x:row r="28"/>
    <x:row r="29" ht="15" hidden="0" customHeight="1">
      <x:c r="A29" s="63" t="str">
        <x:v>parse_issues[] 与 validation.warnings[]</x:v>
      </x:c>
      <x:c r="B29" s="63"/>
      <x:c r="C29" s="63"/>
      <x:c r="D29" s="63"/>
      <x:c r="E29" s="63"/>
      <x:c r="F29" s="63"/>
      <x:c r="G29" s="63"/>
      <x:c r="H29" s="63"/>
      <x:c r="I29" s="63"/>
    </x:row>
    <x:row r="30" ht="26.399999618530273" hidden="0" customHeight="1">
      <x:c r="A30" s="44" t="str">
        <x:v>code</x:v>
      </x:c>
      <x:c r="B30" s="44" t="str">
        <x:v>severity</x:v>
      </x:c>
      <x:c r="C30" s="44" t="str">
        <x:v>category</x:v>
      </x:c>
      <x:c r="D30" s="44" t="str">
        <x:v>message</x:v>
      </x:c>
      <x:c r="E30" s="44" t="str">
        <x:v>source_sheet</x:v>
      </x:c>
      <x:c r="F30" s="44" t="str">
        <x:v>source_row</x:v>
      </x:c>
      <x:c r="G30" s="44" t="str">
        <x:v>raw_value</x:v>
      </x:c>
      <x:c r="H30" s="44" t="str">
        <x:v>normalized_value</x:v>
      </x:c>
      <x:c r="I30" s="44" t="str">
        <x:v>action</x:v>
      </x:c>
    </x:row>
    <x:row r="31" ht="72" hidden="0" customHeight="1">
      <x:c r="A31" s="50" t="str">
        <x:v>POOL_ID_SPELLING_INCONSISTENT</x:v>
      </x:c>
      <x:c r="B31" s="50" t="str">
        <x:v>WARNING</x:v>
      </x:c>
      <x:c r="C31" s="50" t="str">
        <x:v>parse_issue</x:v>
      </x:c>
      <x:c r="D31" s="50" t="str">
        <x:v>卡牌池使用 POLL_CARD_，人格/服务池使用 POOL_；保留原值并要求开发确认是否为拼写错误。</x:v>
      </x:c>
      <x:c r="E31" s="50" t="str">
        <x:v>商店_商品刷新规则</x:v>
      </x:c>
      <x:c r="F31" s="50" t="str"/>
      <x:c r="G31" s="50" t="str"/>
      <x:c r="H31" s="50" t="str"/>
      <x:c r="I31" s="50" t="str">
        <x:v>保留并等待确认</x:v>
      </x:c>
    </x:row>
    <x:row r="32" ht="48" hidden="0" customHeight="1">
      <x:c r="A32" s="51" t="str">
        <x:v>SHOP_PERSONA_TYPE_ALIAS</x:v>
      </x:c>
      <x:c r="B32" s="51" t="str">
        <x:v>WARNING</x:v>
      </x:c>
      <x:c r="C32" s="51" t="str">
        <x:v>parse_issue</x:v>
      </x:c>
      <x:c r="D32" s="51" t="str">
        <x:v>槽位刷新表使用“人格”，商品表使用“人格牌”；已在标准化层统一为 PERSONA，原值保留。</x:v>
      </x:c>
      <x:c r="E32" s="51" t="str">
        <x:v>商店_商品槽位刷新规则 / 商品_商品</x:v>
      </x:c>
      <x:c r="F32" s="51" t="str"/>
      <x:c r="G32" s="51" t="str"/>
      <x:c r="H32" s="51" t="str"/>
      <x:c r="I32" s="51" t="str">
        <x:v>保留并等待确认</x:v>
      </x:c>
    </x:row>
    <x:row r="33" ht="72" hidden="0" customHeight="1">
      <x:c r="A33" s="51" t="str">
        <x:v>DIFFICULTY_NOT_PROVIDED</x:v>
      </x:c>
      <x:c r="B33" s="51" t="str">
        <x:v>WARNING</x:v>
      </x:c>
      <x:c r="C33" s="51" t="str">
        <x:v>parse_issue</x:v>
      </x:c>
      <x:c r="D33" s="51" t="str">
        <x:v>9 个产金战斗没有 difficulty 字段，均标记为 UNSPECIFIED；不得仅凭 5/8 金币推断普通或精英。</x:v>
      </x:c>
      <x:c r="E33" s="51" t="str">
        <x:v>关卡流程</x:v>
      </x:c>
      <x:c r="F33" s="51" t="str"/>
      <x:c r="G33" s="51" t="str"/>
      <x:c r="H33" s="51" t="str"/>
      <x:c r="I33" s="51" t="str">
        <x:v>保留并等待确认</x:v>
      </x:c>
    </x:row>
    <x:row r="34" ht="72" hidden="0" customHeight="1">
      <x:c r="A34" s="51" t="str">
        <x:v>REMAINING_ACTION_REWARD_UNSPECIFIED</x:v>
      </x:c>
      <x:c r="B34" s="51" t="str">
        <x:v>WARNING</x:v>
      </x:c>
      <x:c r="C34" s="51" t="str">
        <x:v>parse_issue</x:v>
      </x:c>
      <x:c r="D34" s="51" t="str">
        <x:v>Excel 未提供剩余出牌/弃牌奖励正式值；仅输出每 2 次 +1 的建议，不作为确认配置。</x:v>
      </x:c>
      <x:c r="E34" s="51" t="str">
        <x:v>关卡流程</x:v>
      </x:c>
      <x:c r="F34" s="51" t="str"/>
      <x:c r="G34" s="51" t="str"/>
      <x:c r="H34" s="51" t="str"/>
      <x:c r="I34" s="51" t="str">
        <x:v>保留并等待确认</x:v>
      </x:c>
    </x:row>
    <x:row r="35" ht="48" hidden="0" customHeight="1">
      <x:c r="A35" s="51" t="str">
        <x:v>SUSPICIOUS_FRACTIONAL_INTEGER_EFFECT</x:v>
      </x:c>
      <x:c r="B35" s="51" t="str">
        <x:v>WARNING</x:v>
      </x:c>
      <x:c r="C35" s="51" t="str">
        <x:v>validation_warning</x:v>
      </x:c>
      <x:c r="D35" s="51" t="str">
        <x:v>SUB_038 的基础筹码值为 0.2，禁止自动取整或解释。</x:v>
      </x:c>
      <x:c r="E35" s="51" t="str">
        <x:v>人格牌_次级属性</x:v>
      </x:c>
      <x:c r="F35" s="51" t="n">
        <x:v>39</x:v>
      </x:c>
      <x:c r="G35" s="51" t="str"/>
      <x:c r="H35" s="51" t="str"/>
      <x:c r="I35" s="51" t="str">
        <x:v>保留并等待确认</x:v>
      </x:c>
    </x:row>
    <x:row r="36" ht="36" hidden="0" customHeight="1">
      <x:c r="A36" s="51" t="str">
        <x:v>SUSPICIOUS_FRACTIONAL_INTEGER_EFFECT</x:v>
      </x:c>
      <x:c r="B36" s="51" t="str">
        <x:v>WARNING</x:v>
      </x:c>
      <x:c r="C36" s="51" t="str">
        <x:v>validation_warning</x:v>
      </x:c>
      <x:c r="D36" s="51" t="str">
        <x:v>SUB_040 的金币值为 0.08，禁止自动取整或解释。</x:v>
      </x:c>
      <x:c r="E36" s="51" t="str">
        <x:v>人格牌_次级属性</x:v>
      </x:c>
      <x:c r="F36" s="51" t="n">
        <x:v>41</x:v>
      </x:c>
      <x:c r="G36" s="51" t="str"/>
      <x:c r="H36" s="51" t="str"/>
      <x:c r="I36" s="51" t="str">
        <x:v>保留并等待确认</x:v>
      </x:c>
    </x:row>
    <x:row r="37" ht="60" hidden="0" customHeight="1">
      <x:c r="A37" s="51" t="str">
        <x:v>ROYAL_FLUSH_CARD_COUNT_SUSPICIOUS</x:v>
      </x:c>
      <x:c r="B37" s="51" t="str">
        <x:v>WARNING</x:v>
      </x:c>
      <x:c r="C37" s="51" t="str">
        <x:v>validation_warning</x:v>
      </x:c>
      <x:c r="D37" s="51" t="str">
        <x:v>HAND_11 皇家同花顺的计分牌数为 4，高度可疑；未自动修改。</x:v>
      </x:c>
      <x:c r="E37" s="51" t="str">
        <x:v>牌型配置</x:v>
      </x:c>
      <x:c r="F37" s="51" t="n">
        <x:v>12</x:v>
      </x:c>
      <x:c r="G37" s="51" t="str"/>
      <x:c r="H37" s="51" t="str"/>
      <x:c r="I37" s="51" t="str">
        <x:v>保留并等待确认</x:v>
      </x:c>
    </x:row>
    <x:row r="38" ht="36" hidden="0" customHeight="1">
      <x:c r="A38" s="51" t="str">
        <x:v>TWO_PAIR_NAME_SUSPECTED_TYPO</x:v>
      </x:c>
      <x:c r="B38" s="51" t="str">
        <x:v>WARNING</x:v>
      </x:c>
      <x:c r="C38" s="51" t="str">
        <x:v>validation_warning</x:v>
      </x:c>
      <x:c r="D38" s="51" t="str">
        <x:v>HAND_03 名称为“两队”，疑似“两对”；未自动修改。</x:v>
      </x:c>
      <x:c r="E38" s="51" t="str">
        <x:v>牌型配置</x:v>
      </x:c>
      <x:c r="F38" s="51" t="n">
        <x:v>4</x:v>
      </x:c>
      <x:c r="G38" s="51" t="str"/>
      <x:c r="H38" s="51" t="str"/>
      <x:c r="I38" s="51" t="str">
        <x:v>保留并等待确认</x:v>
      </x:c>
    </x:row>
    <x:row r="39" ht="48" hidden="0" customHeight="1">
      <x:c r="A39" s="51" t="str">
        <x:v>ASSET_LINKS_EMPTY</x:v>
      </x:c>
      <x:c r="B39" s="51" t="str">
        <x:v>WARNING</x:v>
      </x:c>
      <x:c r="C39" s="51" t="str">
        <x:v>validation_warning</x:v>
      </x:c>
      <x:c r="D39" s="51" t="str">
        <x:v>图片配置共 103 条链接为空；配置保留但不能作为网页资源入口。</x:v>
      </x:c>
      <x:c r="E39" s="51" t="str">
        <x:v>图片配置</x:v>
      </x:c>
      <x:c r="F39" s="51" t="str"/>
      <x:c r="G39" s="51" t="str"/>
      <x:c r="H39" s="51" t="str"/>
      <x:c r="I39" s="51" t="str">
        <x:v>保留并等待确认</x:v>
      </x:c>
    </x:row>
    <x:row r="40" ht="84" hidden="0" customHeight="1">
      <x:c r="A40" s="51" t="str">
        <x:v>SHOP_BALANCE_UNCONFIRMED</x:v>
      </x:c>
      <x:c r="B40" s="51" t="str">
        <x:v>WARNING</x:v>
      </x:c>
      <x:c r="C40" s="51" t="str">
        <x:v>validation_warning</x:v>
      </x:c>
      <x:c r="D40" s="51" t="str">
        <x:v>卡牌、人格与服务商品价格来自当前 Excel，但与网页端原型价格属于不同经济版本，统一标记 LEGACY_OR_UNCONFIRMED。</x:v>
      </x:c>
      <x:c r="E40" s="51" t="str">
        <x:v>商品_商品</x:v>
      </x:c>
      <x:c r="F40" s="51" t="str"/>
      <x:c r="G40" s="51" t="str"/>
      <x:c r="H40" s="51" t="str"/>
      <x:c r="I40" s="51" t="str">
        <x:v>保留并等待确认</x:v>
      </x:c>
    </x:row>
    <x:row r="41" ht="60" hidden="0" customHeight="1">
      <x:c r="A41" s="51" t="str">
        <x:v>WEB_RUNTIME_NOT_MIGRATED</x:v>
      </x:c>
      <x:c r="B41" s="51" t="str">
        <x:v>WARNING</x:v>
      </x:c>
      <x:c r="C41" s="51" t="str">
        <x:v>validation_warning</x:v>
      </x:c>
      <x:c r="D41" s="51" t="str">
        <x:v>当前网页端仍使用旧金币公式和硬编码商店；本配置仅作为下一版数据基线，未自动接入生产运行时。</x:v>
      </x:c>
      <x:c r="E41" s="51" t="str"/>
      <x:c r="F41" s="51" t="str"/>
      <x:c r="G41" s="51" t="str"/>
      <x:c r="H41" s="51" t="str"/>
      <x:c r="I41" s="51" t="str">
        <x:v>保留并等待确认</x:v>
      </x:c>
    </x:row>
    <x:row r="42" ht="84" hidden="0" customHeight="1">
      <x:c r="A42" s="51" t="str">
        <x:v>WEB_GOLD_FORMULA_CONFLICT</x:v>
      </x:c>
      <x:c r="B42" s="51" t="str">
        <x:v>WARNING</x:v>
      </x:c>
      <x:c r="C42" s="51" t="str">
        <x:v>validation_warning</x:v>
      </x:c>
      <x:c r="D42" s="51" t="str">
        <x:v>网页端仍按 baseCoins=6、battleIndex×2、剩余出牌×1 结算，且最终 Boss 也会获得金币；与 5/5/8×3、Boss=0 的确认规则冲突。</x:v>
      </x:c>
      <x:c r="E42" s="51" t="str"/>
      <x:c r="F42" s="51" t="str"/>
      <x:c r="G42" s="51" t="str"/>
      <x:c r="H42" s="51" t="str"/>
      <x:c r="I42" s="51" t="str">
        <x:v>保留并等待确认</x:v>
      </x:c>
    </x:row>
    <x:row r="43" ht="120" hidden="0" customHeight="1">
      <x:c r="A43" s="51" t="str">
        <x:v>WEB_STAGE_ADAPTER_REQUIRED</x:v>
      </x:c>
      <x:c r="B43" s="51" t="str">
        <x:v>WARNING</x:v>
      </x:c>
      <x:c r="C43" s="51" t="str">
        <x:v>validation_warning</x:v>
      </x:c>
      <x:c r="D43" s="51" t="str">
        <x:v>网页端当前节点处理器使用 10 个 BATTLE + 3 个 PERSONA_GROWTH；标准配置保留 9 个 BATTLE + 3 个 SHOP + 1 个 BOSS，接入时必须通过适配层映射，不能直接改类型。</x:v>
      </x:c>
      <x:c r="E43" s="51" t="str"/>
      <x:c r="F43" s="51" t="str"/>
      <x:c r="G43" s="51" t="str"/>
      <x:c r="H43" s="51" t="str"/>
      <x:c r="I43" s="51" t="str">
        <x:v>保留并等待确认</x:v>
      </x:c>
    </x:row>
    <x:row r="44" ht="72" hidden="0" customHeight="1">
      <x:c r="A44" s="51" t="str">
        <x:v>WEB_FORGE_RUNTIME_NOT_IMPLEMENTED</x:v>
      </x:c>
      <x:c r="B44" s="51" t="str">
        <x:v>WARNING</x:v>
      </x:c>
      <x:c r="C44" s="51" t="str">
        <x:v>validation_warning</x:v>
      </x:c>
      <x:c r="D44" s="51" t="str">
        <x:v>网页端铸造页可以读取 runPersonaPool，但副词条槽、5/8 金币解锁、权重归一化抽取、恢复不重抽和培养存档均未实现。</x:v>
      </x:c>
      <x:c r="E44" s="51" t="str"/>
      <x:c r="F44" s="51" t="str"/>
      <x:c r="G44" s="51" t="str"/>
      <x:c r="H44" s="51" t="str"/>
      <x:c r="I44" s="51" t="str">
        <x:v>保留并等待确认</x:v>
      </x:c>
    </x:row>
    <x:row r="45" ht="60" hidden="0" customHeight="1">
      <x:c r="A45" s="51" t="str">
        <x:v>WEB_SHOP_PRICE_DUPLICATION</x:v>
      </x:c>
      <x:c r="B45" s="51" t="str">
        <x:v>WARNING</x:v>
      </x:c>
      <x:c r="C45" s="51" t="str">
        <x:v>validation_warning</x:v>
      </x:c>
      <x:c r="D45" s="51" t="str">
        <x:v>网页端服务商品展示价与实际扣费价各维护一份 4/6/5 硬编码，标准配置接入前必须改单源读取。</x:v>
      </x:c>
      <x:c r="E45" s="51" t="str"/>
      <x:c r="F45" s="51" t="str"/>
      <x:c r="G45" s="51" t="str"/>
      <x:c r="H45" s="51" t="str"/>
      <x:c r="I45" s="51" t="str">
        <x:v>保留并等待确认</x:v>
      </x:c>
    </x:row>
    <x:row r="46" ht="84" hidden="0" customHeight="1">
      <x:c r="A46" s="51" t="str">
        <x:v>WEB_STANDARD_JSON_ENTRY_MISSING</x:v>
      </x:c>
      <x:c r="B46" s="51" t="str">
        <x:v>WARNING</x:v>
      </x:c>
      <x:c r="C46" s="51" t="str">
        <x:v>validation_warning</x:v>
      </x:c>
      <x:c r="D46" s="51" t="str">
        <x:v>网页端当前通过同步 JS Manifest 加载配置，没有标准化 JSON 的唯一入口、Schema 业务校验或配置哈希存档绑定。</x:v>
      </x:c>
      <x:c r="E46" s="51" t="str"/>
      <x:c r="F46" s="51" t="str"/>
      <x:c r="G46" s="51" t="str"/>
      <x:c r="H46" s="51" t="str"/>
      <x:c r="I46" s="51" t="str">
        <x:v>保留并等待确认</x:v>
      </x:c>
    </x:row>
    <x:row r="47" ht="48" hidden="0" customHeight="1">
      <x:c r="A47" s="51" t="str">
        <x:v>STAGE_13_NOT_BOSS</x:v>
      </x:c>
      <x:c r="B47" s="51" t="str">
        <x:v>ERROR</x:v>
      </x:c>
      <x:c r="C47" s="51" t="str">
        <x:v>validation_error</x:v>
      </x:c>
      <x:c r="D47" s="51" t="str">
        <x:v>原始 STAGE_13 类型为战斗，已在规范化结果中覆盖为 BOSS。</x:v>
      </x:c>
      <x:c r="E47" s="51" t="str">
        <x:v>关卡流程</x:v>
      </x:c>
      <x:c r="F47" s="51" t="n">
        <x:v>14</x:v>
      </x:c>
      <x:c r="G47" s="51" t="str"/>
      <x:c r="H47" s="51" t="str"/>
      <x:c r="I47" s="51" t="str">
        <x:v>接入前复核</x:v>
      </x:c>
    </x:row>
    <x:row r="48" ht="24" hidden="0" customHeight="1">
      <x:c r="A48" s="51" t="str">
        <x:v>BOSS_GOLD_NOT_ZERO</x:v>
      </x:c>
      <x:c r="B48" s="51" t="str">
        <x:v>ERROR</x:v>
      </x:c>
      <x:c r="C48" s="51" t="str">
        <x:v>validation_error</x:v>
      </x:c>
      <x:c r="D48" s="51" t="str">
        <x:v>原始 Boss 奖励不是整数 0，已规范化为 0。</x:v>
      </x:c>
      <x:c r="E48" s="51" t="str">
        <x:v>关卡流程</x:v>
      </x:c>
      <x:c r="F48" s="51" t="n">
        <x:v>14</x:v>
      </x:c>
      <x:c r="G48" s="51" t="str"/>
      <x:c r="H48" s="51" t="str"/>
      <x:c r="I48" s="51" t="str">
        <x:v>接入前复核</x:v>
      </x:c>
    </x:row>
    <x:row r="49" ht="24" hidden="0" customHeight="1">
      <x:c r="A49" s="51" t="str">
        <x:v>PERSONA_SUBTRAIT_SLOT_INVALID</x:v>
      </x:c>
      <x:c r="B49" s="51" t="str">
        <x:v>ERROR</x:v>
      </x:c>
      <x:c r="C49" s="51" t="str">
        <x:v>validation_error</x:v>
      </x:c>
      <x:c r="D49" s="51" t="str">
        <x:v>PER_001 原始副词条槽不是 3。</x:v>
      </x:c>
      <x:c r="E49" s="51" t="str">
        <x:v>人格牌配置</x:v>
      </x:c>
      <x:c r="F49" s="51" t="n">
        <x:v>2</x:v>
      </x:c>
      <x:c r="G49" s="51" t="str"/>
      <x:c r="H49" s="51" t="str"/>
      <x:c r="I49" s="51" t="str">
        <x:v>接入前复核</x:v>
      </x:c>
    </x:row>
    <x:row r="50" ht="24" hidden="0" customHeight="1">
      <x:c r="A50" s="51" t="str">
        <x:v>PERSONA_SUBTRAIT_SLOT_INVALID</x:v>
      </x:c>
      <x:c r="B50" s="51" t="str">
        <x:v>ERROR</x:v>
      </x:c>
      <x:c r="C50" s="51" t="str">
        <x:v>validation_error</x:v>
      </x:c>
      <x:c r="D50" s="51" t="str">
        <x:v>PER_002 原始副词条槽不是 3。</x:v>
      </x:c>
      <x:c r="E50" s="51" t="str">
        <x:v>人格牌配置</x:v>
      </x:c>
      <x:c r="F50" s="51" t="n">
        <x:v>3</x:v>
      </x:c>
      <x:c r="G50" s="51" t="str"/>
      <x:c r="H50" s="51" t="str"/>
      <x:c r="I50" s="51" t="str">
        <x:v>接入前复核</x:v>
      </x:c>
    </x:row>
    <x:row r="51" ht="24" hidden="0" customHeight="1">
      <x:c r="A51" s="51" t="str">
        <x:v>PERSONA_SUBTRAIT_SLOT_INVALID</x:v>
      </x:c>
      <x:c r="B51" s="51" t="str">
        <x:v>ERROR</x:v>
      </x:c>
      <x:c r="C51" s="51" t="str">
        <x:v>validation_error</x:v>
      </x:c>
      <x:c r="D51" s="51" t="str">
        <x:v>PER_003 原始副词条槽不是 3。</x:v>
      </x:c>
      <x:c r="E51" s="51" t="str">
        <x:v>人格牌配置</x:v>
      </x:c>
      <x:c r="F51" s="51" t="n">
        <x:v>4</x:v>
      </x:c>
      <x:c r="G51" s="51" t="str"/>
      <x:c r="H51" s="51" t="str"/>
      <x:c r="I51" s="51" t="str">
        <x:v>接入前复核</x:v>
      </x:c>
    </x:row>
    <x:row r="52" ht="24" hidden="0" customHeight="1">
      <x:c r="A52" s="51" t="str">
        <x:v>PERSONA_SUBTRAIT_SLOT_INVALID</x:v>
      </x:c>
      <x:c r="B52" s="51" t="str">
        <x:v>ERROR</x:v>
      </x:c>
      <x:c r="C52" s="51" t="str">
        <x:v>validation_error</x:v>
      </x:c>
      <x:c r="D52" s="51" t="str">
        <x:v>PER_004 原始副词条槽不是 3。</x:v>
      </x:c>
      <x:c r="E52" s="51" t="str">
        <x:v>人格牌配置</x:v>
      </x:c>
      <x:c r="F52" s="51" t="n">
        <x:v>5</x:v>
      </x:c>
      <x:c r="G52" s="51" t="str"/>
      <x:c r="H52" s="51" t="str"/>
      <x:c r="I52" s="51" t="str">
        <x:v>接入前复核</x:v>
      </x:c>
    </x:row>
    <x:row r="53" ht="24" hidden="0" customHeight="1">
      <x:c r="A53" s="51" t="str">
        <x:v>PERSONA_SUBTRAIT_SLOT_INVALID</x:v>
      </x:c>
      <x:c r="B53" s="51" t="str">
        <x:v>ERROR</x:v>
      </x:c>
      <x:c r="C53" s="51" t="str">
        <x:v>validation_error</x:v>
      </x:c>
      <x:c r="D53" s="51" t="str">
        <x:v>PER_005 原始副词条槽不是 3。</x:v>
      </x:c>
      <x:c r="E53" s="51" t="str">
        <x:v>人格牌配置</x:v>
      </x:c>
      <x:c r="F53" s="51" t="n">
        <x:v>6</x:v>
      </x:c>
      <x:c r="G53" s="51" t="str"/>
      <x:c r="H53" s="51" t="str"/>
      <x:c r="I53" s="51" t="str">
        <x:v>接入前复核</x:v>
      </x:c>
    </x:row>
    <x:row r="54" ht="24" hidden="0" customHeight="1">
      <x:c r="A54" s="51" t="str">
        <x:v>PERSONA_SUBTRAIT_SLOT_INVALID</x:v>
      </x:c>
      <x:c r="B54" s="51" t="str">
        <x:v>ERROR</x:v>
      </x:c>
      <x:c r="C54" s="51" t="str">
        <x:v>validation_error</x:v>
      </x:c>
      <x:c r="D54" s="51" t="str">
        <x:v>PER_006 原始副词条槽不是 3。</x:v>
      </x:c>
      <x:c r="E54" s="51" t="str">
        <x:v>人格牌配置</x:v>
      </x:c>
      <x:c r="F54" s="51" t="n">
        <x:v>7</x:v>
      </x:c>
      <x:c r="G54" s="51" t="str"/>
      <x:c r="H54" s="51" t="str"/>
      <x:c r="I54" s="51" t="str">
        <x:v>接入前复核</x:v>
      </x:c>
    </x:row>
    <x:row r="55" ht="24" hidden="0" customHeight="1">
      <x:c r="A55" s="51" t="str">
        <x:v>PERSONA_SUBTRAIT_SLOT_INVALID</x:v>
      </x:c>
      <x:c r="B55" s="51" t="str">
        <x:v>ERROR</x:v>
      </x:c>
      <x:c r="C55" s="51" t="str">
        <x:v>validation_error</x:v>
      </x:c>
      <x:c r="D55" s="51" t="str">
        <x:v>PER_007 原始副词条槽不是 3。</x:v>
      </x:c>
      <x:c r="E55" s="51" t="str">
        <x:v>人格牌配置</x:v>
      </x:c>
      <x:c r="F55" s="51" t="n">
        <x:v>8</x:v>
      </x:c>
      <x:c r="G55" s="51" t="str"/>
      <x:c r="H55" s="51" t="str"/>
      <x:c r="I55" s="51" t="str">
        <x:v>接入前复核</x:v>
      </x:c>
    </x:row>
    <x:row r="56" ht="24" hidden="0" customHeight="1">
      <x:c r="A56" s="51" t="str">
        <x:v>PERSONA_SUBTRAIT_SLOT_INVALID</x:v>
      </x:c>
      <x:c r="B56" s="51" t="str">
        <x:v>ERROR</x:v>
      </x:c>
      <x:c r="C56" s="51" t="str">
        <x:v>validation_error</x:v>
      </x:c>
      <x:c r="D56" s="51" t="str">
        <x:v>PER_008 原始副词条槽不是 3。</x:v>
      </x:c>
      <x:c r="E56" s="51" t="str">
        <x:v>人格牌配置</x:v>
      </x:c>
      <x:c r="F56" s="51" t="n">
        <x:v>9</x:v>
      </x:c>
      <x:c r="G56" s="51" t="str"/>
      <x:c r="H56" s="51" t="str"/>
      <x:c r="I56" s="51" t="str">
        <x:v>接入前复核</x:v>
      </x:c>
    </x:row>
    <x:row r="57" ht="72" hidden="0" customHeight="1">
      <x:c r="A57" s="51" t="str">
        <x:v>TRIGGER_FOREIGN_KEYS_MISSING_IN_RAW</x:v>
      </x:c>
      <x:c r="B57" s="51" t="str">
        <x:v>ERROR</x:v>
      </x:c>
      <x:c r="C57" s="51" t="str">
        <x:v>validation_error</x:v>
      </x:c>
      <x:c r="D57" s="51" t="str">
        <x:v>人格牌配置引用 ENTRY_001～ENTRY_008，但原始触发词条表未定义这些 ID；规范化时已确定性修正。</x:v>
      </x:c>
      <x:c r="E57" s="51" t="str">
        <x:v>人格牌配置 / 人格牌_词条</x:v>
      </x:c>
      <x:c r="F57" s="51" t="str"/>
      <x:c r="G57" s="51" t="str"/>
      <x:c r="H57" s="51" t="str"/>
      <x:c r="I57" s="51" t="str">
        <x:v>接入前复核</x:v>
      </x:c>
    </x:row>
    <x:row r="58" ht="36" hidden="0" customHeight="1">
      <x:c r="A58" s="51" t="str">
        <x:v>FORGE_COST_INVALID</x:v>
      </x:c>
      <x:c r="B58" s="51" t="str">
        <x:v>ERROR</x:v>
      </x:c>
      <x:c r="C58" s="51" t="str">
        <x:v>validation_error</x:v>
      </x:c>
      <x:c r="D58" s="51" t="str">
        <x:v>FORGE_001 原始价格不是确认值 5。</x:v>
      </x:c>
      <x:c r="E58" s="51" t="str">
        <x:v>商店_人格铸造</x:v>
      </x:c>
      <x:c r="F58" s="51" t="n">
        <x:v>2</x:v>
      </x:c>
      <x:c r="G58" s="51" t="str"/>
      <x:c r="H58" s="51" t="str"/>
      <x:c r="I58" s="51" t="str">
        <x:v>接入前复核</x:v>
      </x:c>
    </x:row>
    <x:row r="59" ht="36" hidden="0" customHeight="1">
      <x:c r="A59" s="51" t="str">
        <x:v>FORGE_COST_INVALID</x:v>
      </x:c>
      <x:c r="B59" s="51" t="str">
        <x:v>ERROR</x:v>
      </x:c>
      <x:c r="C59" s="51" t="str">
        <x:v>validation_error</x:v>
      </x:c>
      <x:c r="D59" s="51" t="str">
        <x:v>FORGE_002 原始价格不是确认值 8。</x:v>
      </x:c>
      <x:c r="E59" s="51" t="str">
        <x:v>商店_人格铸造</x:v>
      </x:c>
      <x:c r="F59" s="51" t="n">
        <x:v>3</x:v>
      </x:c>
      <x:c r="G59" s="51" t="str"/>
      <x:c r="H59" s="51" t="str"/>
      <x:c r="I59" s="51" t="str">
        <x:v>接入前复核</x:v>
      </x:c>
    </x:row>
  </x:sheetData>
  <x:mergeCells>
    <x:mergeCell ref="A1:I1"/>
    <x:mergeCell ref="A2:I2"/>
    <x:mergeCell ref="A4:I4"/>
    <x:mergeCell ref="A29:I29"/>
  </x:mergeCells>
  <x:conditionalFormatting sqref="B31:B59">
    <x:cfRule type="containsText" dxfId="6" priority="1" operator="containsText" text="ERROR"/>
    <x:cfRule type="containsText" dxfId="7" priority="2" operator="containsText" text="WARNING"/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0" hidden="0" customWidth="1"/>
    <x:col min="5" max="5" width="28" hidden="0" customWidth="1"/>
    <x:col min="6" max="6" width="16" hidden="0" customWidth="1"/>
    <x:col min="7" max="7" width="20" hidden="0" customWidth="1"/>
    <x:col min="8" max="8" width="48" hidden="0" customWidth="1"/>
  </x:cols>
  <x:sheetData>
    <x:row r="1" ht="21.600000381469727" hidden="0" customHeight="1">
      <x:c r="A1" s="32" t="str">
        <x:v>Excel → 标准化 JSON 字段映射</x:v>
      </x:c>
      <x:c r="B1" s="32"/>
      <x:c r="C1" s="32"/>
      <x:c r="D1" s="32"/>
      <x:c r="E1" s="32"/>
      <x:c r="F1" s="32"/>
      <x:c r="G1" s="32"/>
      <x:c r="H1" s="32"/>
    </x:row>
    <x:row r="2" ht="15" hidden="0" customHeight="1">
      <x:c r="A2" s="36" t="str">
        <x:v>字段类型保持数值语义；Excel 原列、来源 Sheet 和处理方式可追溯。</x:v>
      </x:c>
      <x:c r="B2" s="36"/>
      <x:c r="C2" s="36"/>
      <x:c r="D2" s="36"/>
      <x:c r="E2" s="36"/>
      <x:c r="F2" s="36"/>
      <x:c r="G2" s="36"/>
      <x:c r="H2" s="36"/>
    </x:row>
    <x:row r="3"/>
    <x:row r="4" ht="15" hidden="0" customHeight="1">
      <x:c r="A4" s="44" t="str">
        <x:v>source_sheet</x:v>
      </x:c>
      <x:c r="B4" s="44" t="str">
        <x:v>excel_column</x:v>
      </x:c>
      <x:c r="C4" s="44" t="str">
        <x:v>standard_field</x:v>
      </x:c>
      <x:c r="D4" s="44" t="str">
        <x:v>type</x:v>
      </x:c>
      <x:c r="E4" s="44" t="str">
        <x:v>example</x:v>
      </x:c>
      <x:c r="F4" s="44" t="str">
        <x:v>required</x:v>
      </x:c>
      <x:c r="G4" s="44" t="str">
        <x:v>handling</x:v>
      </x:c>
      <x:c r="H4" s="44" t="str">
        <x:v>note</x:v>
      </x:c>
    </x:row>
    <x:row r="5" ht="15" hidden="0" customHeight="1">
      <x:c r="A5" s="50" t="str">
        <x:v>人格牌配置</x:v>
      </x:c>
      <x:c r="B5" s="50" t="str">
        <x:v>人格牌_ID</x:v>
      </x:c>
      <x:c r="C5" s="50" t="str">
        <x:v>personas[].id</x:v>
      </x:c>
      <x:c r="D5" s="50" t="str">
        <x:v>string</x:v>
      </x:c>
      <x:c r="E5" s="50" t="str">
        <x:v>PER_001</x:v>
      </x:c>
      <x:c r="F5" s="50" t="str">
        <x:v>是</x:v>
      </x:c>
      <x:c r="G5" s="50" t="str">
        <x:v>direct</x:v>
      </x:c>
      <x:c r="H5" s="50" t="str">
        <x:v>正式人格 ID</x:v>
      </x:c>
    </x:row>
    <x:row r="6" ht="15" hidden="0" customHeight="1">
      <x:c r="A6" s="51" t="str">
        <x:v>人格牌配置</x:v>
      </x:c>
      <x:c r="B6" s="51" t="str">
        <x:v>人格牌名称</x:v>
      </x:c>
      <x:c r="C6" s="51" t="str">
        <x:v>personas[].name</x:v>
      </x:c>
      <x:c r="D6" s="51" t="str">
        <x:v>string</x:v>
      </x:c>
      <x:c r="E6" s="51" t="str">
        <x:v>人格牌01</x:v>
      </x:c>
      <x:c r="F6" s="51" t="str">
        <x:v>是</x:v>
      </x:c>
      <x:c r="G6" s="51" t="str">
        <x:v>direct</x:v>
      </x:c>
      <x:c r="H6" s="51" t="str">
        <x:v>显示名</x:v>
      </x:c>
    </x:row>
    <x:row r="7" ht="15" hidden="0" customHeight="1">
      <x:c r="A7" s="51" t="str">
        <x:v>人格牌配置</x:v>
      </x:c>
      <x:c r="B7" s="51" t="str">
        <x:v>词条_ID</x:v>
      </x:c>
      <x:c r="C7" s="51" t="str">
        <x:v>personas[].trigger_id</x:v>
      </x:c>
      <x:c r="D7" s="51" t="str">
        <x:v>string</x:v>
      </x:c>
      <x:c r="E7" s="51" t="str">
        <x:v>ENTRY_001</x:v>
      </x:c>
      <x:c r="F7" s="51" t="str">
        <x:v>是</x:v>
      </x:c>
      <x:c r="G7" s="51" t="str">
        <x:v>direct</x:v>
      </x:c>
      <x:c r="H7" s="51" t="str">
        <x:v>触发词条外键</x:v>
      </x:c>
    </x:row>
    <x:row r="8" ht="15" hidden="0" customHeight="1">
      <x:c r="A8" s="51" t="str">
        <x:v>人格牌配置</x:v>
      </x:c>
      <x:c r="B8" s="51" t="str">
        <x:v>主属性_ID</x:v>
      </x:c>
      <x:c r="C8" s="51" t="str">
        <x:v>personas[].primary_effect_id</x:v>
      </x:c>
      <x:c r="D8" s="51" t="str">
        <x:v>string</x:v>
      </x:c>
      <x:c r="E8" s="51" t="str">
        <x:v>MAIN_001</x:v>
      </x:c>
      <x:c r="F8" s="51" t="str">
        <x:v>是</x:v>
      </x:c>
      <x:c r="G8" s="51" t="str">
        <x:v>direct</x:v>
      </x:c>
      <x:c r="H8" s="51" t="str">
        <x:v>主效果外键</x:v>
      </x:c>
    </x:row>
    <x:row r="9" ht="15" hidden="0" customHeight="1">
      <x:c r="A9" s="51" t="str">
        <x:v>人格牌配置</x:v>
      </x:c>
      <x:c r="B9" s="51" t="str">
        <x:v>次级属性_ID</x:v>
      </x:c>
      <x:c r="C9" s="51" t="str">
        <x:v>personas[].initial_subtrait_id</x:v>
      </x:c>
      <x:c r="D9" s="51" t="str">
        <x:v>string</x:v>
      </x:c>
      <x:c r="E9" s="51" t="str">
        <x:v>SUB_001</x:v>
      </x:c>
      <x:c r="F9" s="51" t="str">
        <x:v>否</x:v>
      </x:c>
      <x:c r="G9" s="51" t="str">
        <x:v>direct</x:v>
      </x:c>
      <x:c r="H9" s="51" t="str">
        <x:v>初始候选引用</x:v>
      </x:c>
    </x:row>
    <x:row r="10" ht="15" hidden="0" customHeight="1">
      <x:c r="A10" s="51" t="str">
        <x:v>人格牌配置</x:v>
      </x:c>
      <x:c r="B10" s="51" t="str">
        <x:v>最大属性数量</x:v>
      </x:c>
      <x:c r="C10" s="51" t="str">
        <x:v>personas[].max_effect_count_raw</x:v>
      </x:c>
      <x:c r="D10" s="51" t="str">
        <x:v>integer</x:v>
      </x:c>
      <x:c r="E10" s="51" t="n">
        <x:v>3</x:v>
      </x:c>
      <x:c r="F10" s="51" t="str">
        <x:v>否</x:v>
      </x:c>
      <x:c r="G10" s="51" t="str">
        <x:v>preserved</x:v>
      </x:c>
      <x:c r="H10" s="51" t="str">
        <x:v>语义待确认，不作为副词条槽</x:v>
      </x:c>
    </x:row>
    <x:row r="11" ht="15" hidden="0" customHeight="1">
      <x:c r="A11" s="51" t="str">
        <x:v>人格牌配置</x:v>
      </x:c>
      <x:c r="B11" s="51" t="str">
        <x:v>最大次级属性数量</x:v>
      </x:c>
      <x:c r="C11" s="51" t="str">
        <x:v>personas[].max_subtrait_slots</x:v>
      </x:c>
      <x:c r="D11" s="51" t="str">
        <x:v>integer</x:v>
      </x:c>
      <x:c r="E11" s="51" t="n">
        <x:v>3</x:v>
      </x:c>
      <x:c r="F11" s="51" t="str">
        <x:v>是</x:v>
      </x:c>
      <x:c r="G11" s="51" t="str">
        <x:v>override</x:v>
      </x:c>
      <x:c r="H11" s="51" t="str">
        <x:v>原始 2 按最新确认覆盖为 3</x:v>
      </x:c>
    </x:row>
    <x:row r="12" ht="15" hidden="0" customHeight="1">
      <x:c r="A12" s="51" t="str">
        <x:v>人格牌配置</x:v>
      </x:c>
      <x:c r="B12" s="51" t="str">
        <x:v>次级属性池数量</x:v>
      </x:c>
      <x:c r="C12" s="51" t="str">
        <x:v>personas[].subtrait_pool_size</x:v>
      </x:c>
      <x:c r="D12" s="51" t="str">
        <x:v>integer</x:v>
      </x:c>
      <x:c r="E12" s="51" t="n">
        <x:v>5</x:v>
      </x:c>
      <x:c r="F12" s="51" t="str">
        <x:v>是</x:v>
      </x:c>
      <x:c r="G12" s="51" t="str">
        <x:v>direct</x:v>
      </x:c>
      <x:c r="H12" s="51" t="str">
        <x:v>每人格候选数量</x:v>
      </x:c>
    </x:row>
    <x:row r="13" ht="15" hidden="0" customHeight="1">
      <x:c r="A13" s="51" t="str">
        <x:v>人格牌_词条</x:v>
      </x:c>
      <x:c r="B13" s="51" t="str">
        <x:v>词条_ID</x:v>
      </x:c>
      <x:c r="C13" s="51" t="str">
        <x:v>triggers[].id</x:v>
      </x:c>
      <x:c r="D13" s="51" t="str">
        <x:v>string</x:v>
      </x:c>
      <x:c r="E13" s="51" t="str">
        <x:v>ENTRY_001</x:v>
      </x:c>
      <x:c r="F13" s="51" t="str">
        <x:v>是</x:v>
      </x:c>
      <x:c r="G13" s="51" t="str">
        <x:v>override</x:v>
      </x:c>
      <x:c r="H13" s="51" t="str">
        <x:v>原始 MAIN_### 修正为 ENTRY_###</x:v>
      </x:c>
    </x:row>
    <x:row r="14" ht="15" hidden="0" customHeight="1">
      <x:c r="A14" s="51" t="str">
        <x:v>人格牌_词条</x:v>
      </x:c>
      <x:c r="B14" s="51" t="str">
        <x:v>触发条件描述</x:v>
      </x:c>
      <x:c r="C14" s="51" t="str">
        <x:v>triggers[].description</x:v>
      </x:c>
      <x:c r="D14" s="51" t="str">
        <x:v>string</x:v>
      </x:c>
      <x:c r="E14" s="51" t="str">
        <x:v>连续两次使用相同牌型</x:v>
      </x:c>
      <x:c r="F14" s="51" t="str">
        <x:v>是</x:v>
      </x:c>
      <x:c r="G14" s="51" t="str">
        <x:v>direct</x:v>
      </x:c>
      <x:c r="H14" s="51" t="str">
        <x:v>触发说明</x:v>
      </x:c>
    </x:row>
    <x:row r="15" ht="15" hidden="0" customHeight="1">
      <x:c r="A15" s="51" t="str">
        <x:v>人格牌_词条</x:v>
      </x:c>
      <x:c r="B15" s="51" t="str">
        <x:v>条件类型</x:v>
      </x:c>
      <x:c r="C15" s="51" t="str">
        <x:v>triggers[].condition_type</x:v>
      </x:c>
      <x:c r="D15" s="51" t="str">
        <x:v>string</x:v>
      </x:c>
      <x:c r="E15" s="51" t="str">
        <x:v>连续牌型</x:v>
      </x:c>
      <x:c r="F15" s="51" t="str">
        <x:v>是</x:v>
      </x:c>
      <x:c r="G15" s="51" t="str">
        <x:v>direct</x:v>
      </x:c>
      <x:c r="H15" s="51" t="str">
        <x:v>条件类型</x:v>
      </x:c>
    </x:row>
    <x:row r="16" ht="15" hidden="0" customHeight="1">
      <x:c r="A16" s="51" t="str">
        <x:v>人格牌_词条</x:v>
      </x:c>
      <x:c r="B16" s="51" t="str">
        <x:v>比较符</x:v>
      </x:c>
      <x:c r="C16" s="51" t="str">
        <x:v>triggers[].operator</x:v>
      </x:c>
      <x:c r="D16" s="51" t="str">
        <x:v>enum</x:v>
      </x:c>
      <x:c r="E16" s="51" t="str">
        <x:v>EQ</x:v>
      </x:c>
      <x:c r="F16" s="51" t="str">
        <x:v>是</x:v>
      </x:c>
      <x:c r="G16" s="51" t="str">
        <x:v>direct</x:v>
      </x:c>
      <x:c r="H16" s="51" t="str">
        <x:v>由比较符定义表约束</x:v>
      </x:c>
    </x:row>
    <x:row r="17" ht="15" hidden="0" customHeight="1">
      <x:c r="A17" s="51" t="str">
        <x:v>人格牌_词条</x:v>
      </x:c>
      <x:c r="B17" s="51" t="str">
        <x:v>条件参数</x:v>
      </x:c>
      <x:c r="C17" s="51" t="str">
        <x:v>triggers[].condition_value</x:v>
      </x:c>
      <x:c r="D17" s="51" t="str">
        <x:v>number|string|array</x:v>
      </x:c>
      <x:c r="E17" s="51" t="n">
        <x:v>2</x:v>
      </x:c>
      <x:c r="F17" s="51" t="str">
        <x:v>是</x:v>
      </x:c>
      <x:c r="G17" s="51" t="str">
        <x:v>direct</x:v>
      </x:c>
      <x:c r="H17" s="51" t="str">
        <x:v>不得统一转字符串</x:v>
      </x:c>
    </x:row>
    <x:row r="18" ht="15" hidden="0" customHeight="1">
      <x:c r="A18" s="51" t="str">
        <x:v>人格牌_主属性</x:v>
      </x:c>
      <x:c r="B18" s="51" t="str">
        <x:v>主属性_ID</x:v>
      </x:c>
      <x:c r="C18" s="51" t="str">
        <x:v>primary_effects[].id</x:v>
      </x:c>
      <x:c r="D18" s="51" t="str">
        <x:v>string</x:v>
      </x:c>
      <x:c r="E18" s="51" t="str">
        <x:v>MAIN_001</x:v>
      </x:c>
      <x:c r="F18" s="51" t="str">
        <x:v>是</x:v>
      </x:c>
      <x:c r="G18" s="51" t="str">
        <x:v>direct</x:v>
      </x:c>
      <x:c r="H18" s="51" t="str">
        <x:v>主效果 ID</x:v>
      </x:c>
    </x:row>
    <x:row r="19" ht="15" hidden="0" customHeight="1">
      <x:c r="A19" s="51" t="str">
        <x:v>人格牌_主属性</x:v>
      </x:c>
      <x:c r="B19" s="51" t="str">
        <x:v>属性类型</x:v>
      </x:c>
      <x:c r="C19" s="51" t="str">
        <x:v>primary_effects[].effect_type</x:v>
      </x:c>
      <x:c r="D19" s="51" t="str">
        <x:v>string</x:v>
      </x:c>
      <x:c r="E19" s="51" t="str">
        <x:v>基础筹码</x:v>
      </x:c>
      <x:c r="F19" s="51" t="str">
        <x:v>是</x:v>
      </x:c>
      <x:c r="G19" s="51" t="str">
        <x:v>direct</x:v>
      </x:c>
      <x:c r="H19" s="51" t="str">
        <x:v>效果分类</x:v>
      </x:c>
    </x:row>
    <x:row r="20" ht="15" hidden="0" customHeight="1">
      <x:c r="A20" s="51" t="str">
        <x:v>人格牌_主属性</x:v>
      </x:c>
      <x:c r="B20" s="51" t="str">
        <x:v>属性参数1</x:v>
      </x:c>
      <x:c r="C20" s="51" t="str">
        <x:v>primary_effects[].operation</x:v>
      </x:c>
      <x:c r="D20" s="51" t="str">
        <x:v>enum</x:v>
      </x:c>
      <x:c r="E20" s="51" t="str">
        <x:v>增加</x:v>
      </x:c>
      <x:c r="F20" s="51" t="str">
        <x:v>是</x:v>
      </x:c>
      <x:c r="G20" s="51" t="str">
        <x:v>direct</x:v>
      </x:c>
      <x:c r="H20" s="51" t="str">
        <x:v>操作符</x:v>
      </x:c>
    </x:row>
    <x:row r="21" ht="15" hidden="0" customHeight="1">
      <x:c r="A21" s="51" t="str">
        <x:v>人格牌_主属性</x:v>
      </x:c>
      <x:c r="B21" s="51" t="str">
        <x:v>属性参数2</x:v>
      </x:c>
      <x:c r="C21" s="51" t="str">
        <x:v>primary_effects[].value</x:v>
      </x:c>
      <x:c r="D21" s="51" t="str">
        <x:v>number</x:v>
      </x:c>
      <x:c r="E21" s="51" t="n">
        <x:v>15</x:v>
      </x:c>
      <x:c r="F21" s="51" t="str">
        <x:v>是</x:v>
      </x:c>
      <x:c r="G21" s="51" t="str">
        <x:v>direct</x:v>
      </x:c>
      <x:c r="H21" s="51" t="str">
        <x:v>效果值</x:v>
      </x:c>
    </x:row>
    <x:row r="22" ht="15" hidden="0" customHeight="1">
      <x:c r="A22" s="51" t="str">
        <x:v>人格牌_主属性</x:v>
      </x:c>
      <x:c r="B22" s="51" t="str">
        <x:v>开放节点</x:v>
      </x:c>
      <x:c r="C22" s="51" t="str">
        <x:v>primary_effects[].open_stage</x:v>
      </x:c>
      <x:c r="D22" s="51" t="str">
        <x:v>string</x:v>
      </x:c>
      <x:c r="E22" s="51" t="str">
        <x:v>默认</x:v>
      </x:c>
      <x:c r="F22" s="51" t="str">
        <x:v>否</x:v>
      </x:c>
      <x:c r="G22" s="51" t="str">
        <x:v>direct</x:v>
      </x:c>
      <x:c r="H22" s="51" t="str">
        <x:v>主效果开放节点</x:v>
      </x:c>
    </x:row>
    <x:row r="23" ht="15" hidden="0" customHeight="1">
      <x:c r="A23" s="51" t="str">
        <x:v>人格牌_次级属性</x:v>
      </x:c>
      <x:c r="B23" s="51" t="str">
        <x:v>次级属性_ID</x:v>
      </x:c>
      <x:c r="C23" s="51" t="str">
        <x:v>subtraits[].id</x:v>
      </x:c>
      <x:c r="D23" s="51" t="str">
        <x:v>string</x:v>
      </x:c>
      <x:c r="E23" s="51" t="str">
        <x:v>SUB_001</x:v>
      </x:c>
      <x:c r="F23" s="51" t="str">
        <x:v>是</x:v>
      </x:c>
      <x:c r="G23" s="51" t="str">
        <x:v>direct</x:v>
      </x:c>
      <x:c r="H23" s="51" t="str">
        <x:v>副词条 ID</x:v>
      </x:c>
    </x:row>
    <x:row r="24" ht="15" hidden="0" customHeight="1">
      <x:c r="A24" s="51" t="str">
        <x:v>人格牌_次级属性</x:v>
      </x:c>
      <x:c r="B24" s="51" t="str">
        <x:v>所属人格</x:v>
      </x:c>
      <x:c r="C24" s="51" t="str">
        <x:v>subtraits[].persona_id</x:v>
      </x:c>
      <x:c r="D24" s="51" t="str">
        <x:v>string</x:v>
      </x:c>
      <x:c r="E24" s="51" t="str">
        <x:v>PER_001</x:v>
      </x:c>
      <x:c r="F24" s="51" t="str">
        <x:v>是</x:v>
      </x:c>
      <x:c r="G24" s="51" t="str">
        <x:v>mapped</x:v>
      </x:c>
      <x:c r="H24" s="51" t="str">
        <x:v>按人格名称唯一映射，原文本保留</x:v>
      </x:c>
    </x:row>
    <x:row r="25" ht="15" hidden="0" customHeight="1">
      <x:c r="A25" s="51" t="str">
        <x:v>人格牌_次级属性</x:v>
      </x:c>
      <x:c r="B25" s="51" t="str">
        <x:v>权重</x:v>
      </x:c>
      <x:c r="C25" s="51" t="str">
        <x:v>subtraits[].weight</x:v>
      </x:c>
      <x:c r="D25" s="51" t="str">
        <x:v>number</x:v>
      </x:c>
      <x:c r="E25" s="51" t="n">
        <x:v>40</x:v>
      </x:c>
      <x:c r="F25" s="51" t="str">
        <x:v>是</x:v>
      </x:c>
      <x:c r="G25" s="51" t="str">
        <x:v>direct</x:v>
      </x:c>
      <x:c r="H25" s="51" t="str">
        <x:v>相对权重，不是裸概率</x:v>
      </x:c>
    </x:row>
    <x:row r="26" ht="15" hidden="0" customHeight="1">
      <x:c r="A26" s="51" t="str">
        <x:v>人格牌_次级属性</x:v>
      </x:c>
      <x:c r="B26" s="51" t="str">
        <x:v>属性类型</x:v>
      </x:c>
      <x:c r="C26" s="51" t="str">
        <x:v>subtraits[].effect_type</x:v>
      </x:c>
      <x:c r="D26" s="51" t="str">
        <x:v>string</x:v>
      </x:c>
      <x:c r="E26" s="51" t="str">
        <x:v>基础筹码</x:v>
      </x:c>
      <x:c r="F26" s="51" t="str">
        <x:v>是</x:v>
      </x:c>
      <x:c r="G26" s="51" t="str">
        <x:v>direct</x:v>
      </x:c>
      <x:c r="H26" s="51" t="str">
        <x:v>效果分类</x:v>
      </x:c>
    </x:row>
    <x:row r="27" ht="15" hidden="0" customHeight="1">
      <x:c r="A27" s="51" t="str">
        <x:v>人格牌_次级属性</x:v>
      </x:c>
      <x:c r="B27" s="51" t="str">
        <x:v>属性参数1</x:v>
      </x:c>
      <x:c r="C27" s="51" t="str">
        <x:v>subtraits[].operation</x:v>
      </x:c>
      <x:c r="D27" s="51" t="str">
        <x:v>enum</x:v>
      </x:c>
      <x:c r="E27" s="51" t="str">
        <x:v>增加</x:v>
      </x:c>
      <x:c r="F27" s="51" t="str">
        <x:v>是</x:v>
      </x:c>
      <x:c r="G27" s="51" t="str">
        <x:v>direct</x:v>
      </x:c>
      <x:c r="H27" s="51" t="str">
        <x:v>操作符</x:v>
      </x:c>
    </x:row>
    <x:row r="28" ht="15" hidden="0" customHeight="1">
      <x:c r="A28" s="51" t="str">
        <x:v>人格牌_次级属性</x:v>
      </x:c>
      <x:c r="B28" s="51" t="str">
        <x:v>属性参数2</x:v>
      </x:c>
      <x:c r="C28" s="51" t="str">
        <x:v>subtraits[].value</x:v>
      </x:c>
      <x:c r="D28" s="51" t="str">
        <x:v>number</x:v>
      </x:c>
      <x:c r="E28" s="51" t="n">
        <x:v>8</x:v>
      </x:c>
      <x:c r="F28" s="51" t="str">
        <x:v>是</x:v>
      </x:c>
      <x:c r="G28" s="51" t="str">
        <x:v>direct</x:v>
      </x:c>
      <x:c r="H28" s="51" t="str">
        <x:v>金币/筹码应为整数，异常仅告警</x:v>
      </x:c>
    </x:row>
    <x:row r="29" ht="15" hidden="0" customHeight="1">
      <x:c r="A29" s="51" t="str">
        <x:v>人格牌_次级属性</x:v>
      </x:c>
      <x:c r="B29" s="51" t="str">
        <x:v>开放节点</x:v>
      </x:c>
      <x:c r="C29" s="51" t="str">
        <x:v>subtraits[].open_stage</x:v>
      </x:c>
      <x:c r="D29" s="51" t="str">
        <x:v>enum</x:v>
      </x:c>
      <x:c r="E29" s="51" t="str">
        <x:v>AI1</x:v>
      </x:c>
      <x:c r="F29" s="51" t="str">
        <x:v>是</x:v>
      </x:c>
      <x:c r="G29" s="51" t="str">
        <x:v>direct</x:v>
      </x:c>
      <x:c r="H29" s="51" t="str">
        <x:v>表示最早开放，后续持续进入池</x:v>
      </x:c>
    </x:row>
    <x:row r="30" ht="15" hidden="0" customHeight="1">
      <x:c r="A30" s="51" t="str">
        <x:v>商店_人格铸造</x:v>
      </x:c>
      <x:c r="B30" s="51" t="str">
        <x:v>功能_ID</x:v>
      </x:c>
      <x:c r="C30" s="51" t="str">
        <x:v>training_actions[].id</x:v>
      </x:c>
      <x:c r="D30" s="51" t="str">
        <x:v>string</x:v>
      </x:c>
      <x:c r="E30" s="51" t="str">
        <x:v>FORGE_001</x:v>
      </x:c>
      <x:c r="F30" s="51" t="str">
        <x:v>是</x:v>
      </x:c>
      <x:c r="G30" s="51" t="str">
        <x:v>direct</x:v>
      </x:c>
      <x:c r="H30" s="51" t="str">
        <x:v>培养行为 ID</x:v>
      </x:c>
    </x:row>
    <x:row r="31" ht="15" hidden="0" customHeight="1">
      <x:c r="A31" s="51" t="str">
        <x:v>商店_人格铸造</x:v>
      </x:c>
      <x:c r="B31" s="51" t="str">
        <x:v>功能名称</x:v>
      </x:c>
      <x:c r="C31" s="51" t="str">
        <x:v>training_actions[].name</x:v>
      </x:c>
      <x:c r="D31" s="51" t="str">
        <x:v>string</x:v>
      </x:c>
      <x:c r="E31" s="51" t="str">
        <x:v>解锁第二词条</x:v>
      </x:c>
      <x:c r="F31" s="51" t="str">
        <x:v>是</x:v>
      </x:c>
      <x:c r="G31" s="51" t="str">
        <x:v>direct</x:v>
      </x:c>
      <x:c r="H31" s="51" t="str">
        <x:v>培养行为名称</x:v>
      </x:c>
    </x:row>
    <x:row r="32" ht="15" hidden="0" customHeight="1">
      <x:c r="A32" s="51" t="str">
        <x:v>商店_人格铸造</x:v>
      </x:c>
      <x:c r="B32" s="51" t="str">
        <x:v>价格</x:v>
      </x:c>
      <x:c r="C32" s="51" t="str">
        <x:v>training_actions[].cost</x:v>
      </x:c>
      <x:c r="D32" s="51" t="str">
        <x:v>integer</x:v>
      </x:c>
      <x:c r="E32" s="51" t="n">
        <x:v>5</x:v>
      </x:c>
      <x:c r="F32" s="51" t="str">
        <x:v>是</x:v>
      </x:c>
      <x:c r="G32" s="51" t="str">
        <x:v>override</x:v>
      </x:c>
      <x:c r="H32" s="51" t="str">
        <x:v>原始 6/12 按最新确认覆盖 5/8</x:v>
      </x:c>
    </x:row>
    <x:row r="33" ht="15" hidden="0" customHeight="1">
      <x:c r="A33" s="51" t="str">
        <x:v>关卡流程</x:v>
      </x:c>
      <x:c r="B33" s="51" t="str">
        <x:v>阶段_ID</x:v>
      </x:c>
      <x:c r="C33" s="51" t="str">
        <x:v>stages[].id</x:v>
      </x:c>
      <x:c r="D33" s="51" t="str">
        <x:v>string</x:v>
      </x:c>
      <x:c r="E33" s="51" t="str">
        <x:v>STAGE_01</x:v>
      </x:c>
      <x:c r="F33" s="51" t="str">
        <x:v>是</x:v>
      </x:c>
      <x:c r="G33" s="51" t="str">
        <x:v>direct</x:v>
      </x:c>
      <x:c r="H33" s="51" t="str">
        <x:v>关卡 ID</x:v>
      </x:c>
    </x:row>
    <x:row r="34" ht="15" hidden="0" customHeight="1">
      <x:c r="A34" s="51" t="str">
        <x:v>关卡流程</x:v>
      </x:c>
      <x:c r="B34" s="51" t="str">
        <x:v>关卡名称</x:v>
      </x:c>
      <x:c r="C34" s="51" t="str">
        <x:v>stages[].name</x:v>
      </x:c>
      <x:c r="D34" s="51" t="str">
        <x:v>string</x:v>
      </x:c>
      <x:c r="E34" s="51" t="str">
        <x:v>关卡1</x:v>
      </x:c>
      <x:c r="F34" s="51" t="str">
        <x:v>是</x:v>
      </x:c>
      <x:c r="G34" s="51" t="str">
        <x:v>direct</x:v>
      </x:c>
      <x:c r="H34" s="51" t="str">
        <x:v>显示名</x:v>
      </x:c>
    </x:row>
    <x:row r="35" ht="15" hidden="0" customHeight="1">
      <x:c r="A35" s="51" t="str">
        <x:v>关卡流程</x:v>
      </x:c>
      <x:c r="B35" s="51" t="str">
        <x:v>顺序</x:v>
      </x:c>
      <x:c r="C35" s="51" t="str">
        <x:v>stages[].order</x:v>
      </x:c>
      <x:c r="D35" s="51" t="str">
        <x:v>integer</x:v>
      </x:c>
      <x:c r="E35" s="51" t="n">
        <x:v>1</x:v>
      </x:c>
      <x:c r="F35" s="51" t="str">
        <x:v>是</x:v>
      </x:c>
      <x:c r="G35" s="51" t="str">
        <x:v>direct</x:v>
      </x:c>
      <x:c r="H35" s="51" t="str">
        <x:v>必须连续 1～13</x:v>
      </x:c>
    </x:row>
    <x:row r="36" ht="15" hidden="0" customHeight="1">
      <x:c r="A36" s="51" t="str">
        <x:v>关卡流程</x:v>
      </x:c>
      <x:c r="B36" s="51" t="str">
        <x:v>关卡类型描述</x:v>
      </x:c>
      <x:c r="C36" s="51" t="str">
        <x:v>stages[].type</x:v>
      </x:c>
      <x:c r="D36" s="51" t="str">
        <x:v>enum</x:v>
      </x:c>
      <x:c r="E36" s="51" t="str">
        <x:v>BATTLE</x:v>
      </x:c>
      <x:c r="F36" s="51" t="str">
        <x:v>是</x:v>
      </x:c>
      <x:c r="G36" s="51" t="str">
        <x:v>mapped/override</x:v>
      </x:c>
      <x:c r="H36" s="51" t="str">
        <x:v>战斗/商店映射；STAGE_13 强制 BOSS</x:v>
      </x:c>
    </x:row>
    <x:row r="37" ht="15" hidden="0" customHeight="1">
      <x:c r="A37" s="51" t="str">
        <x:v>关卡流程</x:v>
      </x:c>
      <x:c r="B37" s="51" t="str">
        <x:v>分数类型</x:v>
      </x:c>
      <x:c r="C37" s="51" t="str">
        <x:v>stages[].score_rule_type</x:v>
      </x:c>
      <x:c r="D37" s="51" t="str">
        <x:v>string</x:v>
      </x:c>
      <x:c r="E37" s="51" t="str">
        <x:v>通关分数</x:v>
      </x:c>
      <x:c r="F37" s="51" t="str">
        <x:v>否</x:v>
      </x:c>
      <x:c r="G37" s="51" t="str">
        <x:v>direct</x:v>
      </x:c>
      <x:c r="H37" s="51" t="str">
        <x:v>计分规则类型</x:v>
      </x:c>
    </x:row>
    <x:row r="38" ht="15" hidden="0" customHeight="1">
      <x:c r="A38" s="51" t="str">
        <x:v>关卡流程</x:v>
      </x:c>
      <x:c r="B38" s="51" t="str">
        <x:v>分数参数</x:v>
      </x:c>
      <x:c r="C38" s="51" t="str">
        <x:v>stages[].target_score</x:v>
      </x:c>
      <x:c r="D38" s="51" t="str">
        <x:v>number</x:v>
      </x:c>
      <x:c r="E38" s="51" t="n">
        <x:v>550</x:v>
      </x:c>
      <x:c r="F38" s="51" t="str">
        <x:v>否</x:v>
      </x:c>
      <x:c r="G38" s="51" t="str">
        <x:v>direct</x:v>
      </x:c>
      <x:c r="H38" s="51" t="str">
        <x:v>目标分</x:v>
      </x:c>
    </x:row>
    <x:row r="39" ht="15" hidden="0" customHeight="1">
      <x:c r="A39" s="51" t="str">
        <x:v>关卡流程</x:v>
      </x:c>
      <x:c r="B39" s="51" t="str">
        <x:v>手牌限制</x:v>
      </x:c>
      <x:c r="C39" s="51" t="str">
        <x:v>stages[].play_limit</x:v>
      </x:c>
      <x:c r="D39" s="51" t="str">
        <x:v>integer</x:v>
      </x:c>
      <x:c r="E39" s="51" t="n">
        <x:v>4</x:v>
      </x:c>
      <x:c r="F39" s="51" t="str">
        <x:v>否</x:v>
      </x:c>
      <x:c r="G39" s="51" t="str">
        <x:v>direct</x:v>
      </x:c>
      <x:c r="H39" s="51" t="str">
        <x:v>出牌次数</x:v>
      </x:c>
    </x:row>
    <x:row r="40" ht="15" hidden="0" customHeight="1">
      <x:c r="A40" s="51" t="str">
        <x:v>关卡流程</x:v>
      </x:c>
      <x:c r="B40" s="51" t="str">
        <x:v>弃牌限制</x:v>
      </x:c>
      <x:c r="C40" s="51" t="str">
        <x:v>stages[].discard_limit</x:v>
      </x:c>
      <x:c r="D40" s="51" t="str">
        <x:v>integer</x:v>
      </x:c>
      <x:c r="E40" s="51" t="n">
        <x:v>3</x:v>
      </x:c>
      <x:c r="F40" s="51" t="str">
        <x:v>否</x:v>
      </x:c>
      <x:c r="G40" s="51" t="str">
        <x:v>direct</x:v>
      </x:c>
      <x:c r="H40" s="51" t="str">
        <x:v>弃牌次数</x:v>
      </x:c>
    </x:row>
    <x:row r="41" ht="15" hidden="0" customHeight="1">
      <x:c r="A41" s="51" t="str">
        <x:v>关卡流程</x:v>
      </x:c>
      <x:c r="B41" s="51" t="str">
        <x:v>AI节点</x:v>
      </x:c>
      <x:c r="C41" s="51" t="str">
        <x:v>stages[].ai_index</x:v>
      </x:c>
      <x:c r="D41" s="51" t="str">
        <x:v>integer</x:v>
      </x:c>
      <x:c r="E41" s="51" t="n">
        <x:v>1</x:v>
      </x:c>
      <x:c r="F41" s="51" t="str">
        <x:v>否</x:v>
      </x:c>
      <x:c r="G41" s="51" t="str">
        <x:v>direct</x:v>
      </x:c>
      <x:c r="H41" s="51" t="str">
        <x:v>AI 商店序号</x:v>
      </x:c>
    </x:row>
    <x:row r="42" ht="15" hidden="0" customHeight="1">
      <x:c r="A42" s="51" t="str">
        <x:v>关卡流程</x:v>
      </x:c>
      <x:c r="B42" s="51" t="str">
        <x:v>人格牌生成数量</x:v>
      </x:c>
      <x:c r="C42" s="51" t="str">
        <x:v>stages[].persona_generate_count</x:v>
      </x:c>
      <x:c r="D42" s="51" t="str">
        <x:v>integer</x:v>
      </x:c>
      <x:c r="E42" s="51" t="n">
        <x:v>1</x:v>
      </x:c>
      <x:c r="F42" s="51" t="str">
        <x:v>否</x:v>
      </x:c>
      <x:c r="G42" s="51" t="str">
        <x:v>direct</x:v>
      </x:c>
      <x:c r="H42" s="51" t="str">
        <x:v>AI 节点候选生成数</x:v>
      </x:c>
    </x:row>
    <x:row r="43" ht="15" hidden="0" customHeight="1">
      <x:c r="A43" s="51" t="str">
        <x:v>关卡流程</x:v>
      </x:c>
      <x:c r="B43" s="51" t="str">
        <x:v>奖励类型1</x:v>
      </x:c>
      <x:c r="C43" s="51" t="str">
        <x:v>stages[].reward.type</x:v>
      </x:c>
      <x:c r="D43" s="51" t="str">
        <x:v>enum</x:v>
      </x:c>
      <x:c r="E43" s="51" t="str">
        <x:v>金币</x:v>
      </x:c>
      <x:c r="F43" s="51" t="str">
        <x:v>否</x:v>
      </x:c>
      <x:c r="G43" s="51" t="str">
        <x:v>mapped</x:v>
      </x:c>
      <x:c r="H43" s="51" t="str">
        <x:v>金币/无</x:v>
      </x:c>
    </x:row>
    <x:row r="44" ht="15" hidden="0" customHeight="1">
      <x:c r="A44" s="51" t="str">
        <x:v>关卡流程</x:v>
      </x:c>
      <x:c r="B44" s="51" t="str">
        <x:v>奖励参数1</x:v>
      </x:c>
      <x:c r="C44" s="51" t="str">
        <x:v>stages[].base_coin</x:v>
      </x:c>
      <x:c r="D44" s="51" t="str">
        <x:v>integer</x:v>
      </x:c>
      <x:c r="E44" s="51" t="n">
        <x:v>5</x:v>
      </x:c>
      <x:c r="F44" s="51" t="str">
        <x:v>否</x:v>
      </x:c>
      <x:c r="G44" s="51" t="str">
        <x:v>mapped/override</x:v>
      </x:c>
      <x:c r="H44" s="51" t="str">
        <x:v>9 战读取整数；Boss 强制 0</x:v>
      </x:c>
    </x:row>
    <x:row r="45" ht="15" hidden="0" customHeight="1">
      <x:c r="A45" s="51" t="str">
        <x:v>商品_商品</x:v>
      </x:c>
      <x:c r="B45" s="51" t="str">
        <x:v>商品_ID</x:v>
      </x:c>
      <x:c r="C45" s="51" t="str">
        <x:v>shop.items[].id</x:v>
      </x:c>
      <x:c r="D45" s="51" t="str">
        <x:v>string</x:v>
      </x:c>
      <x:c r="E45" s="51" t="str">
        <x:v>SHOP_CARD_001</x:v>
      </x:c>
      <x:c r="F45" s="51" t="str">
        <x:v>是</x:v>
      </x:c>
      <x:c r="G45" s="51" t="str">
        <x:v>direct</x:v>
      </x:c>
      <x:c r="H45" s="51" t="str">
        <x:v>商品 ID</x:v>
      </x:c>
    </x:row>
    <x:row r="46" ht="15" hidden="0" customHeight="1">
      <x:c r="A46" s="51" t="str">
        <x:v>商品_商品</x:v>
      </x:c>
      <x:c r="B46" s="51" t="str">
        <x:v>商品类型</x:v>
      </x:c>
      <x:c r="C46" s="51" t="str">
        <x:v>shop.items[].type</x:v>
      </x:c>
      <x:c r="D46" s="51" t="str">
        <x:v>enum</x:v>
      </x:c>
      <x:c r="E46" s="51" t="str">
        <x:v>CARD</x:v>
      </x:c>
      <x:c r="F46" s="51" t="str">
        <x:v>是</x:v>
      </x:c>
      <x:c r="G46" s="51" t="str">
        <x:v>mapped</x:v>
      </x:c>
      <x:c r="H46" s="51" t="str">
        <x:v>卡牌/人格牌/服务统一枚举</x:v>
      </x:c>
    </x:row>
    <x:row r="47" ht="15" hidden="0" customHeight="1">
      <x:c r="A47" s="51" t="str">
        <x:v>商品_商品</x:v>
      </x:c>
      <x:c r="B47" s="51" t="str">
        <x:v>价格</x:v>
      </x:c>
      <x:c r="C47" s="51" t="str">
        <x:v>shop.items[].price</x:v>
      </x:c>
      <x:c r="D47" s="51" t="str">
        <x:v>integer</x:v>
      </x:c>
      <x:c r="E47" s="51" t="n">
        <x:v>2</x:v>
      </x:c>
      <x:c r="F47" s="51" t="str">
        <x:v>是</x:v>
      </x:c>
      <x:c r="G47" s="51" t="str">
        <x:v>preserved</x:v>
      </x:c>
      <x:c r="H47" s="51" t="str">
        <x:v>标记 LEGACY_OR_UNCONFIRMED</x:v>
      </x:c>
    </x:row>
    <x:row r="48" ht="15" hidden="0" customHeight="1">
      <x:c r="A48" s="51" t="str">
        <x:v>商店_商品槽位刷新规则</x:v>
      </x:c>
      <x:c r="B48" s="51" t="str">
        <x:v>商品类型</x:v>
      </x:c>
      <x:c r="C48" s="51" t="str">
        <x:v>shop.slot_refresh_rules[].item_type</x:v>
      </x:c>
      <x:c r="D48" s="51" t="str">
        <x:v>enum</x:v>
      </x:c>
      <x:c r="E48" s="51" t="str">
        <x:v>PERSONA</x:v>
      </x:c>
      <x:c r="F48" s="51" t="str">
        <x:v>是</x:v>
      </x:c>
      <x:c r="G48" s="51" t="str">
        <x:v>mapped</x:v>
      </x:c>
      <x:c r="H48" s="51" t="str">
        <x:v>人格与人格牌统一为 PERSONA</x:v>
      </x:c>
    </x:row>
    <x:row r="49" ht="15" hidden="0" customHeight="1">
      <x:c r="A49" s="51" t="str">
        <x:v>商店_商品刷新规则</x:v>
      </x:c>
      <x:c r="B49" s="51" t="str">
        <x:v>权重</x:v>
      </x:c>
      <x:c r="C49" s="51" t="str">
        <x:v>shop.item_pool_rules[].weight</x:v>
      </x:c>
      <x:c r="D49" s="51" t="str">
        <x:v>number</x:v>
      </x:c>
      <x:c r="E49" s="51" t="n">
        <x:v>1</x:v>
      </x:c>
      <x:c r="F49" s="51" t="str">
        <x:v>是</x:v>
      </x:c>
      <x:c r="G49" s="51" t="str">
        <x:v>direct</x:v>
      </x:c>
      <x:c r="H49" s="51" t="str">
        <x:v>商品池相对权重</x:v>
      </x:c>
    </x:row>
    <x:row r="50" ht="15" hidden="0" customHeight="1">
      <x:c r="A50" s="51" t="str">
        <x:v>图片配置</x:v>
      </x:c>
      <x:c r="B50" s="51" t="str">
        <x:v>卡牌链接</x:v>
      </x:c>
      <x:c r="C50" s="51" t="str">
        <x:v>assets[].url</x:v>
      </x:c>
      <x:c r="D50" s="51" t="str">
        <x:v>string|null</x:v>
      </x:c>
      <x:c r="E50" s="51" t="str">
        <x:v>assets/...</x:v>
      </x:c>
      <x:c r="F50" s="51" t="str">
        <x:v>否</x:v>
      </x:c>
      <x:c r="G50" s="51" t="str">
        <x:v>preserved</x:v>
      </x:c>
      <x:c r="H50" s="51" t="str">
        <x:v>当前 103 条均为空</x:v>
      </x:c>
    </x:row>
    <x:row r="51" ht="15" hidden="0" customHeight="1">
      <x:c r="A51" s="51" t="str">
        <x:v>无正式列</x:v>
      </x:c>
      <x:c r="B51" s="51" t="str">
        <x:v>剩余出牌奖励规则</x:v>
      </x:c>
      <x:c r="C51" s="51" t="str">
        <x:v>economy.remaining_play_reward</x:v>
      </x:c>
      <x:c r="D51" s="51" t="str">
        <x:v>object</x:v>
      </x:c>
      <x:c r="E51" s="51" t="str">
        <x:v>floor(remaining_play/2)</x:v>
      </x:c>
      <x:c r="F51" s="51" t="str">
        <x:v>否/待确认</x:v>
      </x:c>
      <x:c r="G51" s="51" t="str">
        <x:v>recommendation</x:v>
      </x:c>
      <x:c r="H51" s="51" t="str">
        <x:v>status=UNSPECIFIED</x:v>
      </x:c>
    </x:row>
    <x:row r="52" ht="15" hidden="0" customHeight="1">
      <x:c r="A52" s="51" t="str">
        <x:v>无正式列</x:v>
      </x:c>
      <x:c r="B52" s="51" t="str">
        <x:v>剩余弃牌奖励规则</x:v>
      </x:c>
      <x:c r="C52" s="51" t="str">
        <x:v>economy.remaining_discard_reward</x:v>
      </x:c>
      <x:c r="D52" s="51" t="str">
        <x:v>object</x:v>
      </x:c>
      <x:c r="E52" s="51" t="str">
        <x:v>floor(remaining_discard/2)</x:v>
      </x:c>
      <x:c r="F52" s="51" t="str">
        <x:v>否/待确认</x:v>
      </x:c>
      <x:c r="G52" s="51" t="str">
        <x:v>recommendation</x:v>
      </x:c>
      <x:c r="H52" s="51" t="str">
        <x:v>status=UNSPECIFIED</x:v>
      </x:c>
    </x:row>
  </x:sheetData>
  <x:mergeCells>
    <x:mergeCell ref="A1:H1"/>
    <x:mergeCell ref="A2:H2"/>
  </x:mergeCells>
  <x:conditionalFormatting sqref="G5:G52">
    <x:cfRule type="containsText" dxfId="8" priority="1" operator="containsText" text="override"/>
  </x:conditionalFormatting>
  <x:pageMargins left="0.7" right="0.7" top="0.75" bottom="0.75" header="0.3" footer="0.3"/>
</x:worksheet>
</file>